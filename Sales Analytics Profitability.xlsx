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HIVAM SHARMA\Documents\"/>
    </mc:Choice>
  </mc:AlternateContent>
  <xr:revisionPtr revIDLastSave="0" documentId="8_{5F278EED-B644-4A59-A064-616598F53CCC}" xr6:coauthVersionLast="47" xr6:coauthVersionMax="47" xr10:uidLastSave="{00000000-0000-0000-0000-000000000000}"/>
  <bookViews>
    <workbookView xWindow="-108" yWindow="-108" windowWidth="23256" windowHeight="12576" activeTab="2" xr2:uid="{00000000-000D-0000-FFFF-FFFF00000000}"/>
  </bookViews>
  <sheets>
    <sheet name="Sales Data" sheetId="1" r:id="rId1"/>
    <sheet name="Pivot tables" sheetId="2" r:id="rId2"/>
    <sheet name="Dashboard" sheetId="4" r:id="rId3"/>
  </sheets>
  <definedNames>
    <definedName name="_xlnm._FilterDatabase" localSheetId="0" hidden="1">'Sales Data'!$A$1:$N$1501</definedName>
    <definedName name="Slicer_Category">#N/A</definedName>
    <definedName name="Slicer_Region">#N/A</definedName>
    <definedName name="Slicer_Segment">#N/A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4" l="1"/>
  <c r="S3" i="4"/>
  <c r="I3" i="4"/>
  <c r="D3" i="4"/>
</calcChain>
</file>

<file path=xl/sharedStrings.xml><?xml version="1.0" encoding="utf-8"?>
<sst xmlns="http://schemas.openxmlformats.org/spreadsheetml/2006/main" count="13567" uniqueCount="2302">
  <si>
    <t>Order ID</t>
  </si>
  <si>
    <t>Order Date</t>
  </si>
  <si>
    <t>Customer ID</t>
  </si>
  <si>
    <t>Customer Name</t>
  </si>
  <si>
    <t>Segment</t>
  </si>
  <si>
    <t>City</t>
  </si>
  <si>
    <t>State</t>
  </si>
  <si>
    <t>Region</t>
  </si>
  <si>
    <t>Category</t>
  </si>
  <si>
    <t>Product Name</t>
  </si>
  <si>
    <t>Sales</t>
  </si>
  <si>
    <t>Quantity</t>
  </si>
  <si>
    <t>Discount</t>
  </si>
  <si>
    <t>Profit</t>
  </si>
  <si>
    <t>ORD1000</t>
  </si>
  <si>
    <t>CUST564</t>
  </si>
  <si>
    <t>Pooja Verma</t>
  </si>
  <si>
    <t>Home Office</t>
  </si>
  <si>
    <t>Chennai</t>
  </si>
  <si>
    <t>Tamil Nadu</t>
  </si>
  <si>
    <t>East</t>
  </si>
  <si>
    <t>Clothing</t>
  </si>
  <si>
    <t>T-shirt</t>
  </si>
  <si>
    <t>ORD1001</t>
  </si>
  <si>
    <t>CUST542</t>
  </si>
  <si>
    <t>Amit Sharma</t>
  </si>
  <si>
    <t>Consumer</t>
  </si>
  <si>
    <t>Kolkata</t>
  </si>
  <si>
    <t>West Bengal</t>
  </si>
  <si>
    <t>Electronics</t>
  </si>
  <si>
    <t>Table</t>
  </si>
  <si>
    <t>ORD1002</t>
  </si>
  <si>
    <t>CUST508</t>
  </si>
  <si>
    <t>Neha Singh</t>
  </si>
  <si>
    <t>Bangalore</t>
  </si>
  <si>
    <t>Karnataka</t>
  </si>
  <si>
    <t>South</t>
  </si>
  <si>
    <t>Laptop</t>
  </si>
  <si>
    <t>ORD1003</t>
  </si>
  <si>
    <t>CUST977</t>
  </si>
  <si>
    <t>Mumbai</t>
  </si>
  <si>
    <t>Maharashtra</t>
  </si>
  <si>
    <t>West</t>
  </si>
  <si>
    <t>Furniture</t>
  </si>
  <si>
    <t>ORD1004</t>
  </si>
  <si>
    <t>CUST278</t>
  </si>
  <si>
    <t>Delhi</t>
  </si>
  <si>
    <t>North</t>
  </si>
  <si>
    <t>ORD1005</t>
  </si>
  <si>
    <t>CUST446</t>
  </si>
  <si>
    <t>Sneha Paul</t>
  </si>
  <si>
    <t>Corporate</t>
  </si>
  <si>
    <t>ORD1006</t>
  </si>
  <si>
    <t>CUST935</t>
  </si>
  <si>
    <t>Chair</t>
  </si>
  <si>
    <t>ORD1007</t>
  </si>
  <si>
    <t>CUST230</t>
  </si>
  <si>
    <t>Ankit Roy</t>
  </si>
  <si>
    <t>Jeans</t>
  </si>
  <si>
    <t>ORD1008</t>
  </si>
  <si>
    <t>CUST996</t>
  </si>
  <si>
    <t>Rahul Das</t>
  </si>
  <si>
    <t>ORD1009</t>
  </si>
  <si>
    <t>CUST790</t>
  </si>
  <si>
    <t>Mobile</t>
  </si>
  <si>
    <t>ORD1010</t>
  </si>
  <si>
    <t>CUST727</t>
  </si>
  <si>
    <t>ORD1011</t>
  </si>
  <si>
    <t>CUST774</t>
  </si>
  <si>
    <t>ORD1012</t>
  </si>
  <si>
    <t>CUST142</t>
  </si>
  <si>
    <t>ORD1013</t>
  </si>
  <si>
    <t>CUST861</t>
  </si>
  <si>
    <t>ORD1014</t>
  </si>
  <si>
    <t>CUST205</t>
  </si>
  <si>
    <t>ORD1015</t>
  </si>
  <si>
    <t>CUST617</t>
  </si>
  <si>
    <t>ORD1016</t>
  </si>
  <si>
    <t>CUST496</t>
  </si>
  <si>
    <t>Hyderabad</t>
  </si>
  <si>
    <t>Telangana</t>
  </si>
  <si>
    <t>ORD1017</t>
  </si>
  <si>
    <t>CUST473</t>
  </si>
  <si>
    <t>ORD1018</t>
  </si>
  <si>
    <t>CUST876</t>
  </si>
  <si>
    <t>Ravi Kumar</t>
  </si>
  <si>
    <t>ORD1019</t>
  </si>
  <si>
    <t>CUST612</t>
  </si>
  <si>
    <t>ORD1020</t>
  </si>
  <si>
    <t>CUST786</t>
  </si>
  <si>
    <t>ORD1021</t>
  </si>
  <si>
    <t>CUST799</t>
  </si>
  <si>
    <t>ORD1022</t>
  </si>
  <si>
    <t>CUST391</t>
  </si>
  <si>
    <t>ORD1023</t>
  </si>
  <si>
    <t>CUST737</t>
  </si>
  <si>
    <t>ORD1024</t>
  </si>
  <si>
    <t>CUST434</t>
  </si>
  <si>
    <t>ORD1025</t>
  </si>
  <si>
    <t>CUST514</t>
  </si>
  <si>
    <t>ORD1026</t>
  </si>
  <si>
    <t>CUST695</t>
  </si>
  <si>
    <t>ORD1027</t>
  </si>
  <si>
    <t>CUST896</t>
  </si>
  <si>
    <t>ORD1028</t>
  </si>
  <si>
    <t>CUST565</t>
  </si>
  <si>
    <t>Headphones</t>
  </si>
  <si>
    <t>ORD1029</t>
  </si>
  <si>
    <t>CUST984</t>
  </si>
  <si>
    <t>ORD1030</t>
  </si>
  <si>
    <t>CUST783</t>
  </si>
  <si>
    <t>ORD1031</t>
  </si>
  <si>
    <t>CUST805</t>
  </si>
  <si>
    <t>ORD1032</t>
  </si>
  <si>
    <t>CUST857</t>
  </si>
  <si>
    <t>ORD1033</t>
  </si>
  <si>
    <t>CUST608</t>
  </si>
  <si>
    <t>ORD1034</t>
  </si>
  <si>
    <t>CUST625</t>
  </si>
  <si>
    <t>ORD1035</t>
  </si>
  <si>
    <t>CUST421</t>
  </si>
  <si>
    <t>ORD1036</t>
  </si>
  <si>
    <t>CUST360</t>
  </si>
  <si>
    <t>ORD1037</t>
  </si>
  <si>
    <t>CUST467</t>
  </si>
  <si>
    <t>ORD1038</t>
  </si>
  <si>
    <t>CUST215</t>
  </si>
  <si>
    <t>ORD1039</t>
  </si>
  <si>
    <t>CUST825</t>
  </si>
  <si>
    <t>ORD1040</t>
  </si>
  <si>
    <t>CUST283</t>
  </si>
  <si>
    <t>ORD1041</t>
  </si>
  <si>
    <t>CUST976</t>
  </si>
  <si>
    <t>ORD1042</t>
  </si>
  <si>
    <t>CUST265</t>
  </si>
  <si>
    <t>ORD1043</t>
  </si>
  <si>
    <t>CUST270</t>
  </si>
  <si>
    <t>ORD1044</t>
  </si>
  <si>
    <t>CUST593</t>
  </si>
  <si>
    <t>ORD1045</t>
  </si>
  <si>
    <t>CUST741</t>
  </si>
  <si>
    <t>ORD1046</t>
  </si>
  <si>
    <t>ORD1047</t>
  </si>
  <si>
    <t>CUST357</t>
  </si>
  <si>
    <t>ORD1048</t>
  </si>
  <si>
    <t>CUST402</t>
  </si>
  <si>
    <t>ORD1049</t>
  </si>
  <si>
    <t>ORD1050</t>
  </si>
  <si>
    <t>CUST729</t>
  </si>
  <si>
    <t>ORD1051</t>
  </si>
  <si>
    <t>CUST610</t>
  </si>
  <si>
    <t>ORD1052</t>
  </si>
  <si>
    <t>CUST301</t>
  </si>
  <si>
    <t>ORD1053</t>
  </si>
  <si>
    <t>CUST450</t>
  </si>
  <si>
    <t>ORD1054</t>
  </si>
  <si>
    <t>CUST950</t>
  </si>
  <si>
    <t>ORD1055</t>
  </si>
  <si>
    <t>CUST734</t>
  </si>
  <si>
    <t>ORD1056</t>
  </si>
  <si>
    <t>CUST990</t>
  </si>
  <si>
    <t>ORD1057</t>
  </si>
  <si>
    <t>CUST429</t>
  </si>
  <si>
    <t>ORD1058</t>
  </si>
  <si>
    <t>CUST124</t>
  </si>
  <si>
    <t>ORD1059</t>
  </si>
  <si>
    <t>CUST684</t>
  </si>
  <si>
    <t>ORD1060</t>
  </si>
  <si>
    <t>CUST771</t>
  </si>
  <si>
    <t>ORD1061</t>
  </si>
  <si>
    <t>CUST579</t>
  </si>
  <si>
    <t>ORD1062</t>
  </si>
  <si>
    <t>CUST831</t>
  </si>
  <si>
    <t>ORD1063</t>
  </si>
  <si>
    <t>CUST557</t>
  </si>
  <si>
    <t>ORD1064</t>
  </si>
  <si>
    <t>CUST169</t>
  </si>
  <si>
    <t>ORD1065</t>
  </si>
  <si>
    <t>CUST299</t>
  </si>
  <si>
    <t>ORD1066</t>
  </si>
  <si>
    <t>CUST875</t>
  </si>
  <si>
    <t>ORD1067</t>
  </si>
  <si>
    <t>CUST961</t>
  </si>
  <si>
    <t>ORD1068</t>
  </si>
  <si>
    <t>CUST353</t>
  </si>
  <si>
    <t>ORD1069</t>
  </si>
  <si>
    <t>CUST414</t>
  </si>
  <si>
    <t>ORD1070</t>
  </si>
  <si>
    <t>CUST644</t>
  </si>
  <si>
    <t>ORD1071</t>
  </si>
  <si>
    <t>CUST941</t>
  </si>
  <si>
    <t>ORD1072</t>
  </si>
  <si>
    <t>CUST537</t>
  </si>
  <si>
    <t>ORD1073</t>
  </si>
  <si>
    <t>CUST521</t>
  </si>
  <si>
    <t>ORD1074</t>
  </si>
  <si>
    <t>CUST655</t>
  </si>
  <si>
    <t>ORD1075</t>
  </si>
  <si>
    <t>CUST563</t>
  </si>
  <si>
    <t>ORD1076</t>
  </si>
  <si>
    <t>CUST957</t>
  </si>
  <si>
    <t>ORD1077</t>
  </si>
  <si>
    <t>CUST732</t>
  </si>
  <si>
    <t>ORD1078</t>
  </si>
  <si>
    <t>CUST261</t>
  </si>
  <si>
    <t>ORD1079</t>
  </si>
  <si>
    <t>CUST731</t>
  </si>
  <si>
    <t>ORD1080</t>
  </si>
  <si>
    <t>CUST659</t>
  </si>
  <si>
    <t>ORD1081</t>
  </si>
  <si>
    <t>CUST899</t>
  </si>
  <si>
    <t>ORD1082</t>
  </si>
  <si>
    <t>CUST471</t>
  </si>
  <si>
    <t>ORD1083</t>
  </si>
  <si>
    <t>CUST274</t>
  </si>
  <si>
    <t>ORD1084</t>
  </si>
  <si>
    <t>CUST715</t>
  </si>
  <si>
    <t>ORD1085</t>
  </si>
  <si>
    <t>CUST398</t>
  </si>
  <si>
    <t>ORD1086</t>
  </si>
  <si>
    <t>CUST160</t>
  </si>
  <si>
    <t>ORD1087</t>
  </si>
  <si>
    <t>ORD1088</t>
  </si>
  <si>
    <t>CUST983</t>
  </si>
  <si>
    <t>ORD1089</t>
  </si>
  <si>
    <t>CUST972</t>
  </si>
  <si>
    <t>ORD1090</t>
  </si>
  <si>
    <t>CUST530</t>
  </si>
  <si>
    <t>ORD1091</t>
  </si>
  <si>
    <t>CUST585</t>
  </si>
  <si>
    <t>ORD1092</t>
  </si>
  <si>
    <t>CUST760</t>
  </si>
  <si>
    <t>ORD1093</t>
  </si>
  <si>
    <t>CUST847</t>
  </si>
  <si>
    <t>ORD1094</t>
  </si>
  <si>
    <t>CUST109</t>
  </si>
  <si>
    <t>ORD1095</t>
  </si>
  <si>
    <t>CUST819</t>
  </si>
  <si>
    <t>ORD1096</t>
  </si>
  <si>
    <t>ORD1097</t>
  </si>
  <si>
    <t>ORD1098</t>
  </si>
  <si>
    <t>ORD1099</t>
  </si>
  <si>
    <t>CUST103</t>
  </si>
  <si>
    <t>ORD1100</t>
  </si>
  <si>
    <t>CUST520</t>
  </si>
  <si>
    <t>ORD1101</t>
  </si>
  <si>
    <t>CUST466</t>
  </si>
  <si>
    <t>ORD1102</t>
  </si>
  <si>
    <t>CUST992</t>
  </si>
  <si>
    <t>ORD1103</t>
  </si>
  <si>
    <t>CUST335</t>
  </si>
  <si>
    <t>ORD1104</t>
  </si>
  <si>
    <t>CUST247</t>
  </si>
  <si>
    <t>ORD1105</t>
  </si>
  <si>
    <t>ORD1106</t>
  </si>
  <si>
    <t>CUST262</t>
  </si>
  <si>
    <t>ORD1107</t>
  </si>
  <si>
    <t>CUST712</t>
  </si>
  <si>
    <t>ORD1108</t>
  </si>
  <si>
    <t>CUST494</t>
  </si>
  <si>
    <t>ORD1109</t>
  </si>
  <si>
    <t>ORD1110</t>
  </si>
  <si>
    <t>CUST891</t>
  </si>
  <si>
    <t>ORD1111</t>
  </si>
  <si>
    <t>CUST315</t>
  </si>
  <si>
    <t>ORD1112</t>
  </si>
  <si>
    <t>CUST533</t>
  </si>
  <si>
    <t>ORD1113</t>
  </si>
  <si>
    <t>CUST722</t>
  </si>
  <si>
    <t>ORD1114</t>
  </si>
  <si>
    <t>CUST809</t>
  </si>
  <si>
    <t>ORD1115</t>
  </si>
  <si>
    <t>CUST997</t>
  </si>
  <si>
    <t>ORD1116</t>
  </si>
  <si>
    <t>CUST923</t>
  </si>
  <si>
    <t>ORD1117</t>
  </si>
  <si>
    <t>CUST597</t>
  </si>
  <si>
    <t>ORD1118</t>
  </si>
  <si>
    <t>CUST652</t>
  </si>
  <si>
    <t>ORD1119</t>
  </si>
  <si>
    <t>CUST442</t>
  </si>
  <si>
    <t>ORD1120</t>
  </si>
  <si>
    <t>CUST757</t>
  </si>
  <si>
    <t>ORD1121</t>
  </si>
  <si>
    <t>CUST667</t>
  </si>
  <si>
    <t>ORD1122</t>
  </si>
  <si>
    <t>CUST614</t>
  </si>
  <si>
    <t>ORD1123</t>
  </si>
  <si>
    <t>CUST933</t>
  </si>
  <si>
    <t>ORD1124</t>
  </si>
  <si>
    <t>CUST599</t>
  </si>
  <si>
    <t>ORD1125</t>
  </si>
  <si>
    <t>ORD1126</t>
  </si>
  <si>
    <t>CUST159</t>
  </si>
  <si>
    <t>ORD1127</t>
  </si>
  <si>
    <t>CUST547</t>
  </si>
  <si>
    <t>ORD1128</t>
  </si>
  <si>
    <t>CUST661</t>
  </si>
  <si>
    <t>ORD1129</t>
  </si>
  <si>
    <t>CUST815</t>
  </si>
  <si>
    <t>ORD1130</t>
  </si>
  <si>
    <t>CUST895</t>
  </si>
  <si>
    <t>ORD1131</t>
  </si>
  <si>
    <t>CUST596</t>
  </si>
  <si>
    <t>ORD1132</t>
  </si>
  <si>
    <t>CUST237</t>
  </si>
  <si>
    <t>ORD1133</t>
  </si>
  <si>
    <t>CUST266</t>
  </si>
  <si>
    <t>ORD1134</t>
  </si>
  <si>
    <t>CUST730</t>
  </si>
  <si>
    <t>ORD1135</t>
  </si>
  <si>
    <t>CUST435</t>
  </si>
  <si>
    <t>ORD1136</t>
  </si>
  <si>
    <t>CUST913</t>
  </si>
  <si>
    <t>ORD1137</t>
  </si>
  <si>
    <t>CUST567</t>
  </si>
  <si>
    <t>ORD1138</t>
  </si>
  <si>
    <t>ORD1139</t>
  </si>
  <si>
    <t>CUST621</t>
  </si>
  <si>
    <t>ORD1140</t>
  </si>
  <si>
    <t>CUST778</t>
  </si>
  <si>
    <t>ORD1141</t>
  </si>
  <si>
    <t>ORD1142</t>
  </si>
  <si>
    <t>CUST523</t>
  </si>
  <si>
    <t>ORD1143</t>
  </si>
  <si>
    <t>CUST185</t>
  </si>
  <si>
    <t>ORD1144</t>
  </si>
  <si>
    <t>CUST438</t>
  </si>
  <si>
    <t>ORD1145</t>
  </si>
  <si>
    <t>CUST325</t>
  </si>
  <si>
    <t>ORD1146</t>
  </si>
  <si>
    <t>CUST175</t>
  </si>
  <si>
    <t>ORD1147</t>
  </si>
  <si>
    <t>CUST836</t>
  </si>
  <si>
    <t>ORD1148</t>
  </si>
  <si>
    <t>CUST631</t>
  </si>
  <si>
    <t>ORD1149</t>
  </si>
  <si>
    <t>CUST613</t>
  </si>
  <si>
    <t>ORD1150</t>
  </si>
  <si>
    <t>CUST761</t>
  </si>
  <si>
    <t>ORD1151</t>
  </si>
  <si>
    <t>ORD1152</t>
  </si>
  <si>
    <t>CUST671</t>
  </si>
  <si>
    <t>ORD1153</t>
  </si>
  <si>
    <t>CUST772</t>
  </si>
  <si>
    <t>ORD1154</t>
  </si>
  <si>
    <t>CUST870</t>
  </si>
  <si>
    <t>ORD1155</t>
  </si>
  <si>
    <t>CUST651</t>
  </si>
  <si>
    <t>ORD1156</t>
  </si>
  <si>
    <t>CUST203</t>
  </si>
  <si>
    <t>ORD1157</t>
  </si>
  <si>
    <t>ORD1158</t>
  </si>
  <si>
    <t>CUST183</t>
  </si>
  <si>
    <t>ORD1159</t>
  </si>
  <si>
    <t>CUST172</t>
  </si>
  <si>
    <t>ORD1160</t>
  </si>
  <si>
    <t>CUST125</t>
  </si>
  <si>
    <t>ORD1161</t>
  </si>
  <si>
    <t>CUST206</t>
  </si>
  <si>
    <t>ORD1162</t>
  </si>
  <si>
    <t>CUST803</t>
  </si>
  <si>
    <t>ORD1163</t>
  </si>
  <si>
    <t>CUST457</t>
  </si>
  <si>
    <t>ORD1164</t>
  </si>
  <si>
    <t>CUST193</t>
  </si>
  <si>
    <t>ORD1165</t>
  </si>
  <si>
    <t>CUST373</t>
  </si>
  <si>
    <t>ORD1166</t>
  </si>
  <si>
    <t>CUST264</t>
  </si>
  <si>
    <t>ORD1167</t>
  </si>
  <si>
    <t>CUST486</t>
  </si>
  <si>
    <t>ORD1168</t>
  </si>
  <si>
    <t>CUST743</t>
  </si>
  <si>
    <t>ORD1169</t>
  </si>
  <si>
    <t>CUST436</t>
  </si>
  <si>
    <t>ORD1170</t>
  </si>
  <si>
    <t>ORD1171</t>
  </si>
  <si>
    <t>CUST670</t>
  </si>
  <si>
    <t>ORD1172</t>
  </si>
  <si>
    <t>CUST231</t>
  </si>
  <si>
    <t>ORD1173</t>
  </si>
  <si>
    <t>CUST503</t>
  </si>
  <si>
    <t>ORD1174</t>
  </si>
  <si>
    <t>CUST361</t>
  </si>
  <si>
    <t>ORD1175</t>
  </si>
  <si>
    <t>CUST543</t>
  </si>
  <si>
    <t>ORD1176</t>
  </si>
  <si>
    <t>CUST179</t>
  </si>
  <si>
    <t>ORD1177</t>
  </si>
  <si>
    <t>CUST101</t>
  </si>
  <si>
    <t>ORD1178</t>
  </si>
  <si>
    <t>ORD1179</t>
  </si>
  <si>
    <t>CUST221</t>
  </si>
  <si>
    <t>ORD1180</t>
  </si>
  <si>
    <t>CUST994</t>
  </si>
  <si>
    <t>ORD1181</t>
  </si>
  <si>
    <t>CUST931</t>
  </si>
  <si>
    <t>ORD1182</t>
  </si>
  <si>
    <t>CUST232</t>
  </si>
  <si>
    <t>ORD1183</t>
  </si>
  <si>
    <t>CUST366</t>
  </si>
  <si>
    <t>ORD1184</t>
  </si>
  <si>
    <t>ORD1185</t>
  </si>
  <si>
    <t>CUST186</t>
  </si>
  <si>
    <t>ORD1186</t>
  </si>
  <si>
    <t>CUST826</t>
  </si>
  <si>
    <t>ORD1187</t>
  </si>
  <si>
    <t>CUST999</t>
  </si>
  <si>
    <t>ORD1188</t>
  </si>
  <si>
    <t>CUST173</t>
  </si>
  <si>
    <t>ORD1189</t>
  </si>
  <si>
    <t>ORD1190</t>
  </si>
  <si>
    <t>CUST660</t>
  </si>
  <si>
    <t>ORD1191</t>
  </si>
  <si>
    <t>CUST298</t>
  </si>
  <si>
    <t>ORD1192</t>
  </si>
  <si>
    <t>CUST420</t>
  </si>
  <si>
    <t>ORD1193</t>
  </si>
  <si>
    <t>CUST807</t>
  </si>
  <si>
    <t>ORD1194</t>
  </si>
  <si>
    <t>CUST294</t>
  </si>
  <si>
    <t>ORD1195</t>
  </si>
  <si>
    <t>CUST569</t>
  </si>
  <si>
    <t>ORD1196</t>
  </si>
  <si>
    <t>CUST701</t>
  </si>
  <si>
    <t>ORD1197</t>
  </si>
  <si>
    <t>CUST787</t>
  </si>
  <si>
    <t>ORD1198</t>
  </si>
  <si>
    <t>CUST758</t>
  </si>
  <si>
    <t>ORD1199</t>
  </si>
  <si>
    <t>CUST146</t>
  </si>
  <si>
    <t>ORD1200</t>
  </si>
  <si>
    <t>CUST781</t>
  </si>
  <si>
    <t>ORD1201</t>
  </si>
  <si>
    <t>CUST342</t>
  </si>
  <si>
    <t>ORD1202</t>
  </si>
  <si>
    <t>CUST801</t>
  </si>
  <si>
    <t>ORD1203</t>
  </si>
  <si>
    <t>CUST440</t>
  </si>
  <si>
    <t>ORD1204</t>
  </si>
  <si>
    <t>CUST559</t>
  </si>
  <si>
    <t>ORD1205</t>
  </si>
  <si>
    <t>ORD1206</t>
  </si>
  <si>
    <t>CUST116</t>
  </si>
  <si>
    <t>ORD1207</t>
  </si>
  <si>
    <t>CUST798</t>
  </si>
  <si>
    <t>ORD1208</t>
  </si>
  <si>
    <t>CUST925</t>
  </si>
  <si>
    <t>ORD1209</t>
  </si>
  <si>
    <t>CUST779</t>
  </si>
  <si>
    <t>ORD1210</t>
  </si>
  <si>
    <t>ORD1211</t>
  </si>
  <si>
    <t>CUST126</t>
  </si>
  <si>
    <t>ORD1212</t>
  </si>
  <si>
    <t>CUST982</t>
  </si>
  <si>
    <t>ORD1213</t>
  </si>
  <si>
    <t>ORD1214</t>
  </si>
  <si>
    <t>CUST673</t>
  </si>
  <si>
    <t>ORD1215</t>
  </si>
  <si>
    <t>CUST912</t>
  </si>
  <si>
    <t>ORD1216</t>
  </si>
  <si>
    <t>ORD1217</t>
  </si>
  <si>
    <t>ORD1218</t>
  </si>
  <si>
    <t>CUST785</t>
  </si>
  <si>
    <t>ORD1219</t>
  </si>
  <si>
    <t>CUST229</t>
  </si>
  <si>
    <t>ORD1220</t>
  </si>
  <si>
    <t>ORD1221</t>
  </si>
  <si>
    <t>CUST936</t>
  </si>
  <si>
    <t>ORD1222</t>
  </si>
  <si>
    <t>CUST649</t>
  </si>
  <si>
    <t>ORD1223</t>
  </si>
  <si>
    <t>CUST858</t>
  </si>
  <si>
    <t>ORD1224</t>
  </si>
  <si>
    <t>CUST751</t>
  </si>
  <si>
    <t>ORD1225</t>
  </si>
  <si>
    <t>CUST351</t>
  </si>
  <si>
    <t>ORD1226</t>
  </si>
  <si>
    <t>CUST365</t>
  </si>
  <si>
    <t>ORD1227</t>
  </si>
  <si>
    <t>CUST577</t>
  </si>
  <si>
    <t>ORD1228</t>
  </si>
  <si>
    <t>ORD1229</t>
  </si>
  <si>
    <t>CUST410</t>
  </si>
  <si>
    <t>ORD1230</t>
  </si>
  <si>
    <t>CUST182</t>
  </si>
  <si>
    <t>ORD1231</t>
  </si>
  <si>
    <t>ORD1232</t>
  </si>
  <si>
    <t>CUST894</t>
  </si>
  <si>
    <t>ORD1233</t>
  </si>
  <si>
    <t>CUST697</t>
  </si>
  <si>
    <t>ORD1234</t>
  </si>
  <si>
    <t>CUST642</t>
  </si>
  <si>
    <t>ORD1235</t>
  </si>
  <si>
    <t>CUST828</t>
  </si>
  <si>
    <t>ORD1236</t>
  </si>
  <si>
    <t>ORD1237</t>
  </si>
  <si>
    <t>ORD1238</t>
  </si>
  <si>
    <t>CUST255</t>
  </si>
  <si>
    <t>ORD1239</t>
  </si>
  <si>
    <t>CUST210</t>
  </si>
  <si>
    <t>ORD1240</t>
  </si>
  <si>
    <t>CUST635</t>
  </si>
  <si>
    <t>ORD1241</t>
  </si>
  <si>
    <t>CUST879</t>
  </si>
  <si>
    <t>ORD1242</t>
  </si>
  <si>
    <t>CUST636</t>
  </si>
  <si>
    <t>ORD1243</t>
  </si>
  <si>
    <t>ORD1244</t>
  </si>
  <si>
    <t>CUST245</t>
  </si>
  <si>
    <t>ORD1245</t>
  </si>
  <si>
    <t>CUST490</t>
  </si>
  <si>
    <t>ORD1246</t>
  </si>
  <si>
    <t>ORD1247</t>
  </si>
  <si>
    <t>CUST460</t>
  </si>
  <si>
    <t>ORD1248</t>
  </si>
  <si>
    <t>CUST267</t>
  </si>
  <si>
    <t>ORD1249</t>
  </si>
  <si>
    <t>CUST502</t>
  </si>
  <si>
    <t>ORD1250</t>
  </si>
  <si>
    <t>CUST704</t>
  </si>
  <si>
    <t>ORD1251</t>
  </si>
  <si>
    <t>CUST890</t>
  </si>
  <si>
    <t>ORD1252</t>
  </si>
  <si>
    <t>CUST763</t>
  </si>
  <si>
    <t>ORD1253</t>
  </si>
  <si>
    <t>CUST769</t>
  </si>
  <si>
    <t>ORD1254</t>
  </si>
  <si>
    <t>CUST354</t>
  </si>
  <si>
    <t>ORD1255</t>
  </si>
  <si>
    <t>CUST485</t>
  </si>
  <si>
    <t>ORD1256</t>
  </si>
  <si>
    <t>CUST148</t>
  </si>
  <si>
    <t>ORD1257</t>
  </si>
  <si>
    <t>CUST106</t>
  </si>
  <si>
    <t>ORD1258</t>
  </si>
  <si>
    <t>ORD1259</t>
  </si>
  <si>
    <t>CUST833</t>
  </si>
  <si>
    <t>ORD1260</t>
  </si>
  <si>
    <t>CUST276</t>
  </si>
  <si>
    <t>ORD1261</t>
  </si>
  <si>
    <t>CUST600</t>
  </si>
  <si>
    <t>ORD1262</t>
  </si>
  <si>
    <t>CUST141</t>
  </si>
  <si>
    <t>ORD1263</t>
  </si>
  <si>
    <t>CUST406</t>
  </si>
  <si>
    <t>ORD1264</t>
  </si>
  <si>
    <t>CUST938</t>
  </si>
  <si>
    <t>ORD1265</t>
  </si>
  <si>
    <t>CUST104</t>
  </si>
  <si>
    <t>ORD1266</t>
  </si>
  <si>
    <t>ORD1267</t>
  </si>
  <si>
    <t>CUST839</t>
  </si>
  <si>
    <t>ORD1268</t>
  </si>
  <si>
    <t>ORD1269</t>
  </si>
  <si>
    <t>CUST914</t>
  </si>
  <si>
    <t>ORD1270</t>
  </si>
  <si>
    <t>ORD1271</t>
  </si>
  <si>
    <t>ORD1272</t>
  </si>
  <si>
    <t>CUST516</t>
  </si>
  <si>
    <t>ORD1273</t>
  </si>
  <si>
    <t>CUST500</t>
  </si>
  <si>
    <t>ORD1274</t>
  </si>
  <si>
    <t>ORD1275</t>
  </si>
  <si>
    <t>CUST143</t>
  </si>
  <si>
    <t>ORD1276</t>
  </si>
  <si>
    <t>CUST910</t>
  </si>
  <si>
    <t>ORD1277</t>
  </si>
  <si>
    <t>CUST909</t>
  </si>
  <si>
    <t>ORD1278</t>
  </si>
  <si>
    <t>CUST400</t>
  </si>
  <si>
    <t>ORD1279</t>
  </si>
  <si>
    <t>CUST306</t>
  </si>
  <si>
    <t>ORD1280</t>
  </si>
  <si>
    <t>CUST222</t>
  </si>
  <si>
    <t>ORD1281</t>
  </si>
  <si>
    <t>ORD1282</t>
  </si>
  <si>
    <t>CUST100</t>
  </si>
  <si>
    <t>ORD1283</t>
  </si>
  <si>
    <t>CUST336</t>
  </si>
  <si>
    <t>ORD1284</t>
  </si>
  <si>
    <t>ORD1285</t>
  </si>
  <si>
    <t>CUST965</t>
  </si>
  <si>
    <t>ORD1286</t>
  </si>
  <si>
    <t>CUST535</t>
  </si>
  <si>
    <t>ORD1287</t>
  </si>
  <si>
    <t>CUST682</t>
  </si>
  <si>
    <t>ORD1288</t>
  </si>
  <si>
    <t>CUST721</t>
  </si>
  <si>
    <t>ORD1289</t>
  </si>
  <si>
    <t>CUST854</t>
  </si>
  <si>
    <t>ORD1290</t>
  </si>
  <si>
    <t>CUST120</t>
  </si>
  <si>
    <t>ORD1291</t>
  </si>
  <si>
    <t>CUST840</t>
  </si>
  <si>
    <t>ORD1292</t>
  </si>
  <si>
    <t>CUST726</t>
  </si>
  <si>
    <t>ORD1293</t>
  </si>
  <si>
    <t>ORD1294</t>
  </si>
  <si>
    <t>ORD1295</t>
  </si>
  <si>
    <t>CUST686</t>
  </si>
  <si>
    <t>ORD1296</t>
  </si>
  <si>
    <t>ORD1297</t>
  </si>
  <si>
    <t>CUST793</t>
  </si>
  <si>
    <t>ORD1298</t>
  </si>
  <si>
    <t>CUST694</t>
  </si>
  <si>
    <t>ORD1299</t>
  </si>
  <si>
    <t>CUST619</t>
  </si>
  <si>
    <t>ORD1300</t>
  </si>
  <si>
    <t>CUST766</t>
  </si>
  <si>
    <t>ORD1301</t>
  </si>
  <si>
    <t>CUST448</t>
  </si>
  <si>
    <t>ORD1302</t>
  </si>
  <si>
    <t>CUST934</t>
  </si>
  <si>
    <t>ORD1303</t>
  </si>
  <si>
    <t>CUST260</t>
  </si>
  <si>
    <t>ORD1304</t>
  </si>
  <si>
    <t>CUST258</t>
  </si>
  <si>
    <t>ORD1305</t>
  </si>
  <si>
    <t>CUST338</t>
  </si>
  <si>
    <t>ORD1306</t>
  </si>
  <si>
    <t>CUST108</t>
  </si>
  <si>
    <t>ORD1307</t>
  </si>
  <si>
    <t>CUST584</t>
  </si>
  <si>
    <t>ORD1308</t>
  </si>
  <si>
    <t>ORD1309</t>
  </si>
  <si>
    <t>CUST752</t>
  </si>
  <si>
    <t>ORD1310</t>
  </si>
  <si>
    <t>ORD1311</t>
  </si>
  <si>
    <t>ORD1312</t>
  </si>
  <si>
    <t>CUST211</t>
  </si>
  <si>
    <t>ORD1313</t>
  </si>
  <si>
    <t>CUST822</t>
  </si>
  <si>
    <t>ORD1314</t>
  </si>
  <si>
    <t>ORD1315</t>
  </si>
  <si>
    <t>ORD1316</t>
  </si>
  <si>
    <t>ORD1317</t>
  </si>
  <si>
    <t>CUST386</t>
  </si>
  <si>
    <t>ORD1318</t>
  </si>
  <si>
    <t>ORD1319</t>
  </si>
  <si>
    <t>CUST634</t>
  </si>
  <si>
    <t>ORD1320</t>
  </si>
  <si>
    <t>CUST337</t>
  </si>
  <si>
    <t>ORD1321</t>
  </si>
  <si>
    <t>CUST323</t>
  </si>
  <si>
    <t>ORD1322</t>
  </si>
  <si>
    <t>ORD1323</t>
  </si>
  <si>
    <t>CUST850</t>
  </si>
  <si>
    <t>ORD1324</t>
  </si>
  <si>
    <t>CUST217</t>
  </si>
  <si>
    <t>ORD1325</t>
  </si>
  <si>
    <t>ORD1326</t>
  </si>
  <si>
    <t>ORD1327</t>
  </si>
  <si>
    <t>ORD1328</t>
  </si>
  <si>
    <t>ORD1329</t>
  </si>
  <si>
    <t>CUST385</t>
  </si>
  <si>
    <t>ORD1330</t>
  </si>
  <si>
    <t>ORD1331</t>
  </si>
  <si>
    <t>CUST917</t>
  </si>
  <si>
    <t>ORD1332</t>
  </si>
  <si>
    <t>CUST208</t>
  </si>
  <si>
    <t>ORD1333</t>
  </si>
  <si>
    <t>CUST505</t>
  </si>
  <si>
    <t>ORD1334</t>
  </si>
  <si>
    <t>CUST980</t>
  </si>
  <si>
    <t>ORD1335</t>
  </si>
  <si>
    <t>CUST742</t>
  </si>
  <si>
    <t>ORD1336</t>
  </si>
  <si>
    <t>ORD1337</t>
  </si>
  <si>
    <t>ORD1338</t>
  </si>
  <si>
    <t>ORD1339</t>
  </si>
  <si>
    <t>CUST482</t>
  </si>
  <si>
    <t>ORD1340</t>
  </si>
  <si>
    <t>ORD1341</t>
  </si>
  <si>
    <t>ORD1342</t>
  </si>
  <si>
    <t>CUST394</t>
  </si>
  <si>
    <t>ORD1343</t>
  </si>
  <si>
    <t>CUST755</t>
  </si>
  <si>
    <t>ORD1344</t>
  </si>
  <si>
    <t>CUST281</t>
  </si>
  <si>
    <t>ORD1345</t>
  </si>
  <si>
    <t>CUST226</t>
  </si>
  <si>
    <t>ORD1346</t>
  </si>
  <si>
    <t>CUST333</t>
  </si>
  <si>
    <t>ORD1347</t>
  </si>
  <si>
    <t>CUST906</t>
  </si>
  <si>
    <t>ORD1348</t>
  </si>
  <si>
    <t>CUST953</t>
  </si>
  <si>
    <t>ORD1349</t>
  </si>
  <si>
    <t>ORD1350</t>
  </si>
  <si>
    <t>CUST952</t>
  </si>
  <si>
    <t>ORD1351</t>
  </si>
  <si>
    <t>CUST583</t>
  </si>
  <si>
    <t>ORD1352</t>
  </si>
  <si>
    <t>CUST806</t>
  </si>
  <si>
    <t>ORD1353</t>
  </si>
  <si>
    <t>CUST501</t>
  </si>
  <si>
    <t>ORD1354</t>
  </si>
  <si>
    <t>ORD1355</t>
  </si>
  <si>
    <t>CUST768</t>
  </si>
  <si>
    <t>ORD1356</t>
  </si>
  <si>
    <t>CUST131</t>
  </si>
  <si>
    <t>ORD1357</t>
  </si>
  <si>
    <t>CUST228</t>
  </si>
  <si>
    <t>ORD1358</t>
  </si>
  <si>
    <t>CUST324</t>
  </si>
  <si>
    <t>ORD1359</t>
  </si>
  <si>
    <t>CUST796</t>
  </si>
  <si>
    <t>ORD1360</t>
  </si>
  <si>
    <t>CUST384</t>
  </si>
  <si>
    <t>ORD1361</t>
  </si>
  <si>
    <t>ORD1362</t>
  </si>
  <si>
    <t>CUST666</t>
  </si>
  <si>
    <t>ORD1363</t>
  </si>
  <si>
    <t>ORD1364</t>
  </si>
  <si>
    <t>CUST308</t>
  </si>
  <si>
    <t>ORD1365</t>
  </si>
  <si>
    <t>CUST309</t>
  </si>
  <si>
    <t>ORD1366</t>
  </si>
  <si>
    <t>ORD1367</t>
  </si>
  <si>
    <t>CUST153</t>
  </si>
  <si>
    <t>ORD1368</t>
  </si>
  <si>
    <t>CUST849</t>
  </si>
  <si>
    <t>ORD1369</t>
  </si>
  <si>
    <t>ORD1370</t>
  </si>
  <si>
    <t>CUST291</t>
  </si>
  <si>
    <t>ORD1371</t>
  </si>
  <si>
    <t>CUST626</t>
  </si>
  <si>
    <t>ORD1372</t>
  </si>
  <si>
    <t>CUST829</t>
  </si>
  <si>
    <t>ORD1373</t>
  </si>
  <si>
    <t>ORD1374</t>
  </si>
  <si>
    <t>ORD1375</t>
  </si>
  <si>
    <t>CUST288</t>
  </si>
  <si>
    <t>ORD1376</t>
  </si>
  <si>
    <t>CUST352</t>
  </si>
  <si>
    <t>ORD1377</t>
  </si>
  <si>
    <t>ORD1378</t>
  </si>
  <si>
    <t>CUST506</t>
  </si>
  <si>
    <t>ORD1379</t>
  </si>
  <si>
    <t>CUST492</t>
  </si>
  <si>
    <t>ORD1380</t>
  </si>
  <si>
    <t>ORD1381</t>
  </si>
  <si>
    <t>CUST233</t>
  </si>
  <si>
    <t>ORD1382</t>
  </si>
  <si>
    <t>ORD1383</t>
  </si>
  <si>
    <t>ORD1384</t>
  </si>
  <si>
    <t>CUST263</t>
  </si>
  <si>
    <t>ORD1385</t>
  </si>
  <si>
    <t>CUST800</t>
  </si>
  <si>
    <t>ORD1386</t>
  </si>
  <si>
    <t>ORD1387</t>
  </si>
  <si>
    <t>CUST707</t>
  </si>
  <si>
    <t>ORD1388</t>
  </si>
  <si>
    <t>ORD1389</t>
  </si>
  <si>
    <t>CUST643</t>
  </si>
  <si>
    <t>ORD1390</t>
  </si>
  <si>
    <t>ORD1391</t>
  </si>
  <si>
    <t>CUST197</t>
  </si>
  <si>
    <t>ORD1392</t>
  </si>
  <si>
    <t>ORD1393</t>
  </si>
  <si>
    <t>ORD1394</t>
  </si>
  <si>
    <t>ORD1395</t>
  </si>
  <si>
    <t>ORD1396</t>
  </si>
  <si>
    <t>CUST985</t>
  </si>
  <si>
    <t>ORD1397</t>
  </si>
  <si>
    <t>CUST156</t>
  </si>
  <si>
    <t>ORD1398</t>
  </si>
  <si>
    <t>CUST632</t>
  </si>
  <si>
    <t>ORD1399</t>
  </si>
  <si>
    <t>CUST765</t>
  </si>
  <si>
    <t>ORD1400</t>
  </si>
  <si>
    <t>ORD1401</t>
  </si>
  <si>
    <t>CUST683</t>
  </si>
  <si>
    <t>ORD1402</t>
  </si>
  <si>
    <t>CUST484</t>
  </si>
  <si>
    <t>ORD1403</t>
  </si>
  <si>
    <t>ORD1404</t>
  </si>
  <si>
    <t>CUST948</t>
  </si>
  <si>
    <t>ORD1405</t>
  </si>
  <si>
    <t>ORD1406</t>
  </si>
  <si>
    <t>CUST268</t>
  </si>
  <si>
    <t>ORD1407</t>
  </si>
  <si>
    <t>CUST318</t>
  </si>
  <si>
    <t>ORD1408</t>
  </si>
  <si>
    <t>CUST378</t>
  </si>
  <si>
    <t>ORD1409</t>
  </si>
  <si>
    <t>CUST390</t>
  </si>
  <si>
    <t>ORD1410</t>
  </si>
  <si>
    <t>CUST305</t>
  </si>
  <si>
    <t>ORD1411</t>
  </si>
  <si>
    <t>ORD1412</t>
  </si>
  <si>
    <t>ORD1413</t>
  </si>
  <si>
    <t>CUST383</t>
  </si>
  <si>
    <t>ORD1414</t>
  </si>
  <si>
    <t>ORD1415</t>
  </si>
  <si>
    <t>CUST804</t>
  </si>
  <si>
    <t>ORD1416</t>
  </si>
  <si>
    <t>CUST708</t>
  </si>
  <si>
    <t>ORD1417</t>
  </si>
  <si>
    <t>CUST478</t>
  </si>
  <si>
    <t>ORD1418</t>
  </si>
  <si>
    <t>ORD1419</t>
  </si>
  <si>
    <t>CUST676</t>
  </si>
  <si>
    <t>ORD1420</t>
  </si>
  <si>
    <t>ORD1421</t>
  </si>
  <si>
    <t>ORD1422</t>
  </si>
  <si>
    <t>CUST236</t>
  </si>
  <si>
    <t>ORD1423</t>
  </si>
  <si>
    <t>ORD1424</t>
  </si>
  <si>
    <t>ORD1425</t>
  </si>
  <si>
    <t>ORD1426</t>
  </si>
  <si>
    <t>ORD1427</t>
  </si>
  <si>
    <t>CUST409</t>
  </si>
  <si>
    <t>ORD1428</t>
  </si>
  <si>
    <t>CUST241</t>
  </si>
  <si>
    <t>ORD1429</t>
  </si>
  <si>
    <t>CUST611</t>
  </si>
  <si>
    <t>ORD1430</t>
  </si>
  <si>
    <t>CUST115</t>
  </si>
  <si>
    <t>ORD1431</t>
  </si>
  <si>
    <t>ORD1432</t>
  </si>
  <si>
    <t>CUST556</t>
  </si>
  <si>
    <t>ORD1433</t>
  </si>
  <si>
    <t>ORD1434</t>
  </si>
  <si>
    <t>CUST515</t>
  </si>
  <si>
    <t>ORD1435</t>
  </si>
  <si>
    <t>ORD1436</t>
  </si>
  <si>
    <t>ORD1437</t>
  </si>
  <si>
    <t>CUST227</t>
  </si>
  <si>
    <t>ORD1438</t>
  </si>
  <si>
    <t>ORD1439</t>
  </si>
  <si>
    <t>ORD1440</t>
  </si>
  <si>
    <t>ORD1441</t>
  </si>
  <si>
    <t>ORD1442</t>
  </si>
  <si>
    <t>CUST615</t>
  </si>
  <si>
    <t>ORD1443</t>
  </si>
  <si>
    <t>CUST235</t>
  </si>
  <si>
    <t>ORD1444</t>
  </si>
  <si>
    <t>CUST497</t>
  </si>
  <si>
    <t>ORD1445</t>
  </si>
  <si>
    <t>CUST372</t>
  </si>
  <si>
    <t>ORD1446</t>
  </si>
  <si>
    <t>ORD1447</t>
  </si>
  <si>
    <t>CUST979</t>
  </si>
  <si>
    <t>ORD1448</t>
  </si>
  <si>
    <t>CUST403</t>
  </si>
  <si>
    <t>ORD1449</t>
  </si>
  <si>
    <t>ORD1450</t>
  </si>
  <si>
    <t>ORD1451</t>
  </si>
  <si>
    <t>CUST866</t>
  </si>
  <si>
    <t>ORD1452</t>
  </si>
  <si>
    <t>CUST561</t>
  </si>
  <si>
    <t>ORD1453</t>
  </si>
  <si>
    <t>CUST881</t>
  </si>
  <si>
    <t>ORD1454</t>
  </si>
  <si>
    <t>ORD1455</t>
  </si>
  <si>
    <t>CUST362</t>
  </si>
  <si>
    <t>ORD1456</t>
  </si>
  <si>
    <t>CUST340</t>
  </si>
  <si>
    <t>ORD1457</t>
  </si>
  <si>
    <t>CUST717</t>
  </si>
  <si>
    <t>ORD1458</t>
  </si>
  <si>
    <t>CUST509</t>
  </si>
  <si>
    <t>ORD1459</t>
  </si>
  <si>
    <t>CUST685</t>
  </si>
  <si>
    <t>ORD1460</t>
  </si>
  <si>
    <t>CUST536</t>
  </si>
  <si>
    <t>ORD1461</t>
  </si>
  <si>
    <t>ORD1462</t>
  </si>
  <si>
    <t>CUST280</t>
  </si>
  <si>
    <t>ORD1463</t>
  </si>
  <si>
    <t>CUST889</t>
  </si>
  <si>
    <t>ORD1464</t>
  </si>
  <si>
    <t>ORD1465</t>
  </si>
  <si>
    <t>ORD1466</t>
  </si>
  <si>
    <t>ORD1467</t>
  </si>
  <si>
    <t>CUST447</t>
  </si>
  <si>
    <t>ORD1468</t>
  </si>
  <si>
    <t>CUST586</t>
  </si>
  <si>
    <t>ORD1469</t>
  </si>
  <si>
    <t>ORD1470</t>
  </si>
  <si>
    <t>CUST739</t>
  </si>
  <si>
    <t>ORD1471</t>
  </si>
  <si>
    <t>CUST273</t>
  </si>
  <si>
    <t>ORD1472</t>
  </si>
  <si>
    <t>CUST463</t>
  </si>
  <si>
    <t>ORD1473</t>
  </si>
  <si>
    <t>CUST740</t>
  </si>
  <si>
    <t>ORD1474</t>
  </si>
  <si>
    <t>CUST157</t>
  </si>
  <si>
    <t>ORD1475</t>
  </si>
  <si>
    <t>CUST117</t>
  </si>
  <si>
    <t>ORD1476</t>
  </si>
  <si>
    <t>CUST937</t>
  </si>
  <si>
    <t>ORD1477</t>
  </si>
  <si>
    <t>CUST846</t>
  </si>
  <si>
    <t>ORD1478</t>
  </si>
  <si>
    <t>ORD1479</t>
  </si>
  <si>
    <t>CUST598</t>
  </si>
  <si>
    <t>ORD1480</t>
  </si>
  <si>
    <t>ORD1481</t>
  </si>
  <si>
    <t>ORD1482</t>
  </si>
  <si>
    <t>CUST907</t>
  </si>
  <si>
    <t>ORD1483</t>
  </si>
  <si>
    <t>CUST735</t>
  </si>
  <si>
    <t>ORD1484</t>
  </si>
  <si>
    <t>ORD1485</t>
  </si>
  <si>
    <t>ORD1486</t>
  </si>
  <si>
    <t>ORD1487</t>
  </si>
  <si>
    <t>ORD1488</t>
  </si>
  <si>
    <t>CUST602</t>
  </si>
  <si>
    <t>ORD1489</t>
  </si>
  <si>
    <t>CUST955</t>
  </si>
  <si>
    <t>ORD1490</t>
  </si>
  <si>
    <t>ORD1491</t>
  </si>
  <si>
    <t>ORD1492</t>
  </si>
  <si>
    <t>CUST481</t>
  </si>
  <si>
    <t>ORD1493</t>
  </si>
  <si>
    <t>CUST764</t>
  </si>
  <si>
    <t>ORD1494</t>
  </si>
  <si>
    <t>CUST138</t>
  </si>
  <si>
    <t>ORD1495</t>
  </si>
  <si>
    <t>CUST710</t>
  </si>
  <si>
    <t>ORD1496</t>
  </si>
  <si>
    <t>CUST538</t>
  </si>
  <si>
    <t>ORD1497</t>
  </si>
  <si>
    <t>CUST243</t>
  </si>
  <si>
    <t>ORD1498</t>
  </si>
  <si>
    <t>CUST654</t>
  </si>
  <si>
    <t>ORD1499</t>
  </si>
  <si>
    <t>ORD1500</t>
  </si>
  <si>
    <t>ORD1501</t>
  </si>
  <si>
    <t>CUST381</t>
  </si>
  <si>
    <t>ORD1502</t>
  </si>
  <si>
    <t>CUST129</t>
  </si>
  <si>
    <t>ORD1503</t>
  </si>
  <si>
    <t>CUST573</t>
  </si>
  <si>
    <t>ORD1504</t>
  </si>
  <si>
    <t>ORD1505</t>
  </si>
  <si>
    <t>ORD1506</t>
  </si>
  <si>
    <t>ORD1507</t>
  </si>
  <si>
    <t>CUST212</t>
  </si>
  <si>
    <t>ORD1508</t>
  </si>
  <si>
    <t>ORD1509</t>
  </si>
  <si>
    <t>ORD1510</t>
  </si>
  <si>
    <t>ORD1511</t>
  </si>
  <si>
    <t>CUST498</t>
  </si>
  <si>
    <t>ORD1512</t>
  </si>
  <si>
    <t>CUST958</t>
  </si>
  <si>
    <t>ORD1513</t>
  </si>
  <si>
    <t>ORD1514</t>
  </si>
  <si>
    <t>ORD1515</t>
  </si>
  <si>
    <t>CUST321</t>
  </si>
  <si>
    <t>ORD1516</t>
  </si>
  <si>
    <t>CUST433</t>
  </si>
  <si>
    <t>ORD1517</t>
  </si>
  <si>
    <t>ORD1518</t>
  </si>
  <si>
    <t>CUST818</t>
  </si>
  <si>
    <t>ORD1519</t>
  </si>
  <si>
    <t>ORD1520</t>
  </si>
  <si>
    <t>CUST877</t>
  </si>
  <si>
    <t>ORD1521</t>
  </si>
  <si>
    <t>CUST123</t>
  </si>
  <si>
    <t>ORD1522</t>
  </si>
  <si>
    <t>ORD1523</t>
  </si>
  <si>
    <t>CUST355</t>
  </si>
  <si>
    <t>ORD1524</t>
  </si>
  <si>
    <t>CUST302</t>
  </si>
  <si>
    <t>ORD1525</t>
  </si>
  <si>
    <t>CUST346</t>
  </si>
  <si>
    <t>ORD1526</t>
  </si>
  <si>
    <t>CUST720</t>
  </si>
  <si>
    <t>ORD1527</t>
  </si>
  <si>
    <t>ORD1528</t>
  </si>
  <si>
    <t>ORD1529</t>
  </si>
  <si>
    <t>CUST540</t>
  </si>
  <si>
    <t>ORD1530</t>
  </si>
  <si>
    <t>ORD1531</t>
  </si>
  <si>
    <t>ORD1532</t>
  </si>
  <si>
    <t>CUST196</t>
  </si>
  <si>
    <t>ORD1533</t>
  </si>
  <si>
    <t>ORD1534</t>
  </si>
  <si>
    <t>CUST195</t>
  </si>
  <si>
    <t>ORD1535</t>
  </si>
  <si>
    <t>CUST392</t>
  </si>
  <si>
    <t>ORD1536</t>
  </si>
  <si>
    <t>CUST750</t>
  </si>
  <si>
    <t>ORD1537</t>
  </si>
  <si>
    <t>ORD1538</t>
  </si>
  <si>
    <t>ORD1539</t>
  </si>
  <si>
    <t>ORD1540</t>
  </si>
  <si>
    <t>ORD1541</t>
  </si>
  <si>
    <t>ORD1542</t>
  </si>
  <si>
    <t>ORD1543</t>
  </si>
  <si>
    <t>ORD1544</t>
  </si>
  <si>
    <t>CUST920</t>
  </si>
  <si>
    <t>ORD1545</t>
  </si>
  <si>
    <t>CUST216</t>
  </si>
  <si>
    <t>ORD1546</t>
  </si>
  <si>
    <t>CUST575</t>
  </si>
  <si>
    <t>ORD1547</t>
  </si>
  <si>
    <t>ORD1548</t>
  </si>
  <si>
    <t>CUST296</t>
  </si>
  <si>
    <t>ORD1549</t>
  </si>
  <si>
    <t>ORD1550</t>
  </si>
  <si>
    <t>ORD1551</t>
  </si>
  <si>
    <t>CUST947</t>
  </si>
  <si>
    <t>ORD1552</t>
  </si>
  <si>
    <t>ORD1553</t>
  </si>
  <si>
    <t>ORD1554</t>
  </si>
  <si>
    <t>ORD1555</t>
  </si>
  <si>
    <t>CUST380</t>
  </si>
  <si>
    <t>ORD1556</t>
  </si>
  <si>
    <t>CUST510</t>
  </si>
  <si>
    <t>ORD1557</t>
  </si>
  <si>
    <t>CUST900</t>
  </si>
  <si>
    <t>ORD1558</t>
  </si>
  <si>
    <t>ORD1559</t>
  </si>
  <si>
    <t>ORD1560</t>
  </si>
  <si>
    <t>CUST930</t>
  </si>
  <si>
    <t>ORD1561</t>
  </si>
  <si>
    <t>CUST511</t>
  </si>
  <si>
    <t>ORD1562</t>
  </si>
  <si>
    <t>ORD1563</t>
  </si>
  <si>
    <t>ORD1564</t>
  </si>
  <si>
    <t>CUST945</t>
  </si>
  <si>
    <t>ORD1565</t>
  </si>
  <si>
    <t>ORD1566</t>
  </si>
  <si>
    <t>CUST998</t>
  </si>
  <si>
    <t>ORD1567</t>
  </si>
  <si>
    <t>ORD1568</t>
  </si>
  <si>
    <t>CUST688</t>
  </si>
  <si>
    <t>ORD1569</t>
  </si>
  <si>
    <t>ORD1570</t>
  </si>
  <si>
    <t>CUST528</t>
  </si>
  <si>
    <t>ORD1571</t>
  </si>
  <si>
    <t>ORD1572</t>
  </si>
  <si>
    <t>CUST316</t>
  </si>
  <si>
    <t>ORD1573</t>
  </si>
  <si>
    <t>CUST275</t>
  </si>
  <si>
    <t>ORD1574</t>
  </si>
  <si>
    <t>ORD1575</t>
  </si>
  <si>
    <t>ORD1576</t>
  </si>
  <si>
    <t>ORD1577</t>
  </si>
  <si>
    <t>ORD1578</t>
  </si>
  <si>
    <t>CUST220</t>
  </si>
  <si>
    <t>ORD1579</t>
  </si>
  <si>
    <t>ORD1580</t>
  </si>
  <si>
    <t>CUST453</t>
  </si>
  <si>
    <t>ORD1581</t>
  </si>
  <si>
    <t>CUST991</t>
  </si>
  <si>
    <t>ORD1582</t>
  </si>
  <si>
    <t>ORD1583</t>
  </si>
  <si>
    <t>ORD1584</t>
  </si>
  <si>
    <t>CUST624</t>
  </si>
  <si>
    <t>ORD1585</t>
  </si>
  <si>
    <t>CUST539</t>
  </si>
  <si>
    <t>ORD1586</t>
  </si>
  <si>
    <t>CUST792</t>
  </si>
  <si>
    <t>ORD1587</t>
  </si>
  <si>
    <t>ORD1588</t>
  </si>
  <si>
    <t>CUST107</t>
  </si>
  <si>
    <t>ORD1589</t>
  </si>
  <si>
    <t>ORD1590</t>
  </si>
  <si>
    <t>CUST428</t>
  </si>
  <si>
    <t>ORD1591</t>
  </si>
  <si>
    <t>ORD1592</t>
  </si>
  <si>
    <t>CUST364</t>
  </si>
  <si>
    <t>ORD1593</t>
  </si>
  <si>
    <t>CUST464</t>
  </si>
  <si>
    <t>ORD1594</t>
  </si>
  <si>
    <t>ORD1595</t>
  </si>
  <si>
    <t>ORD1596</t>
  </si>
  <si>
    <t>CUST388</t>
  </si>
  <si>
    <t>ORD1597</t>
  </si>
  <si>
    <t>CUST885</t>
  </si>
  <si>
    <t>ORD1598</t>
  </si>
  <si>
    <t>CUST487</t>
  </si>
  <si>
    <t>ORD1599</t>
  </si>
  <si>
    <t>CUST113</t>
  </si>
  <si>
    <t>ORD1600</t>
  </si>
  <si>
    <t>ORD1601</t>
  </si>
  <si>
    <t>CUST374</t>
  </si>
  <si>
    <t>ORD1602</t>
  </si>
  <si>
    <t>CUST363</t>
  </si>
  <si>
    <t>ORD1603</t>
  </si>
  <si>
    <t>ORD1604</t>
  </si>
  <si>
    <t>CUST706</t>
  </si>
  <si>
    <t>ORD1605</t>
  </si>
  <si>
    <t>ORD1606</t>
  </si>
  <si>
    <t>ORD1607</t>
  </si>
  <si>
    <t>CUST784</t>
  </si>
  <si>
    <t>ORD1608</t>
  </si>
  <si>
    <t>ORD1609</t>
  </si>
  <si>
    <t>ORD1610</t>
  </si>
  <si>
    <t>CUST880</t>
  </si>
  <si>
    <t>ORD1611</t>
  </si>
  <si>
    <t>CUST285</t>
  </si>
  <si>
    <t>ORD1612</t>
  </si>
  <si>
    <t>CUST130</t>
  </si>
  <si>
    <t>ORD1613</t>
  </si>
  <si>
    <t>CUST443</t>
  </si>
  <si>
    <t>ORD1614</t>
  </si>
  <si>
    <t>ORD1615</t>
  </si>
  <si>
    <t>ORD1616</t>
  </si>
  <si>
    <t>CUST358</t>
  </si>
  <si>
    <t>ORD1617</t>
  </si>
  <si>
    <t>ORD1618</t>
  </si>
  <si>
    <t>CUST716</t>
  </si>
  <si>
    <t>ORD1619</t>
  </si>
  <si>
    <t>CUST932</t>
  </si>
  <si>
    <t>ORD1620</t>
  </si>
  <si>
    <t>CUST174</t>
  </si>
  <si>
    <t>ORD1621</t>
  </si>
  <si>
    <t>ORD1622</t>
  </si>
  <si>
    <t>CUST970</t>
  </si>
  <si>
    <t>ORD1623</t>
  </si>
  <si>
    <t>CUST855</t>
  </si>
  <si>
    <t>ORD1624</t>
  </si>
  <si>
    <t>CUST756</t>
  </si>
  <si>
    <t>ORD1625</t>
  </si>
  <si>
    <t>ORD1626</t>
  </si>
  <si>
    <t>CUST674</t>
  </si>
  <si>
    <t>ORD1627</t>
  </si>
  <si>
    <t>ORD1628</t>
  </si>
  <si>
    <t>CUST753</t>
  </si>
  <si>
    <t>ORD1629</t>
  </si>
  <si>
    <t>ORD1630</t>
  </si>
  <si>
    <t>CUST633</t>
  </si>
  <si>
    <t>ORD1631</t>
  </si>
  <si>
    <t>ORD1632</t>
  </si>
  <si>
    <t>CUST568</t>
  </si>
  <si>
    <t>ORD1633</t>
  </si>
  <si>
    <t>CUST405</t>
  </si>
  <si>
    <t>ORD1634</t>
  </si>
  <si>
    <t>CUST468</t>
  </si>
  <si>
    <t>ORD1635</t>
  </si>
  <si>
    <t>CUST718</t>
  </si>
  <si>
    <t>ORD1636</t>
  </si>
  <si>
    <t>ORD1637</t>
  </si>
  <si>
    <t>CUST238</t>
  </si>
  <si>
    <t>ORD1638</t>
  </si>
  <si>
    <t>ORD1639</t>
  </si>
  <si>
    <t>ORD1640</t>
  </si>
  <si>
    <t>ORD1641</t>
  </si>
  <si>
    <t>CUST887</t>
  </si>
  <si>
    <t>ORD1642</t>
  </si>
  <si>
    <t>CUST703</t>
  </si>
  <si>
    <t>ORD1643</t>
  </si>
  <si>
    <t>ORD1644</t>
  </si>
  <si>
    <t>CUST207</t>
  </si>
  <si>
    <t>ORD1645</t>
  </si>
  <si>
    <t>CUST627</t>
  </si>
  <si>
    <t>ORD1646</t>
  </si>
  <si>
    <t>ORD1647</t>
  </si>
  <si>
    <t>CUST304</t>
  </si>
  <si>
    <t>ORD1648</t>
  </si>
  <si>
    <t>CUST944</t>
  </si>
  <si>
    <t>ORD1649</t>
  </si>
  <si>
    <t>ORD1650</t>
  </si>
  <si>
    <t>ORD1651</t>
  </si>
  <si>
    <t>CUST524</t>
  </si>
  <si>
    <t>ORD1652</t>
  </si>
  <si>
    <t>CUST629</t>
  </si>
  <si>
    <t>ORD1653</t>
  </si>
  <si>
    <t>CUST986</t>
  </si>
  <si>
    <t>ORD1654</t>
  </si>
  <si>
    <t>ORD1655</t>
  </si>
  <si>
    <t>CUST664</t>
  </si>
  <si>
    <t>ORD1656</t>
  </si>
  <si>
    <t>ORD1657</t>
  </si>
  <si>
    <t>ORD1658</t>
  </si>
  <si>
    <t>CUST574</t>
  </si>
  <si>
    <t>ORD1659</t>
  </si>
  <si>
    <t>ORD1660</t>
  </si>
  <si>
    <t>CUST939</t>
  </si>
  <si>
    <t>ORD1661</t>
  </si>
  <si>
    <t>ORD1662</t>
  </si>
  <si>
    <t>ORD1663</t>
  </si>
  <si>
    <t>CUST507</t>
  </si>
  <si>
    <t>ORD1664</t>
  </si>
  <si>
    <t>CUST650</t>
  </si>
  <si>
    <t>ORD1665</t>
  </si>
  <si>
    <t>ORD1666</t>
  </si>
  <si>
    <t>ORD1667</t>
  </si>
  <si>
    <t>ORD1668</t>
  </si>
  <si>
    <t>ORD1669</t>
  </si>
  <si>
    <t>ORD1670</t>
  </si>
  <si>
    <t>CUST856</t>
  </si>
  <si>
    <t>ORD1671</t>
  </si>
  <si>
    <t>CUST132</t>
  </si>
  <si>
    <t>ORD1672</t>
  </si>
  <si>
    <t>ORD1673</t>
  </si>
  <si>
    <t>CUST709</t>
  </si>
  <si>
    <t>ORD1674</t>
  </si>
  <si>
    <t>ORD1675</t>
  </si>
  <si>
    <t>ORD1676</t>
  </si>
  <si>
    <t>ORD1677</t>
  </si>
  <si>
    <t>ORD1678</t>
  </si>
  <si>
    <t>ORD1679</t>
  </si>
  <si>
    <t>CUST513</t>
  </si>
  <si>
    <t>ORD1680</t>
  </si>
  <si>
    <t>ORD1681</t>
  </si>
  <si>
    <t>CUST349</t>
  </si>
  <si>
    <t>ORD1682</t>
  </si>
  <si>
    <t>ORD1683</t>
  </si>
  <si>
    <t>ORD1684</t>
  </si>
  <si>
    <t>ORD1685</t>
  </si>
  <si>
    <t>CUST582</t>
  </si>
  <si>
    <t>ORD1686</t>
  </si>
  <si>
    <t>CUST702</t>
  </si>
  <si>
    <t>ORD1687</t>
  </si>
  <si>
    <t>ORD1688</t>
  </si>
  <si>
    <t>CUST257</t>
  </si>
  <si>
    <t>ORD1689</t>
  </si>
  <si>
    <t>ORD1690</t>
  </si>
  <si>
    <t>ORD1691</t>
  </si>
  <si>
    <t>CUST396</t>
  </si>
  <si>
    <t>ORD1692</t>
  </si>
  <si>
    <t>ORD1693</t>
  </si>
  <si>
    <t>ORD1694</t>
  </si>
  <si>
    <t>ORD1695</t>
  </si>
  <si>
    <t>CUST455</t>
  </si>
  <si>
    <t>ORD1696</t>
  </si>
  <si>
    <t>CUST728</t>
  </si>
  <si>
    <t>ORD1697</t>
  </si>
  <si>
    <t>ORD1698</t>
  </si>
  <si>
    <t>CUST719</t>
  </si>
  <si>
    <t>ORD1699</t>
  </si>
  <si>
    <t>ORD1700</t>
  </si>
  <si>
    <t>ORD1701</t>
  </si>
  <si>
    <t>ORD1702</t>
  </si>
  <si>
    <t>CUST348</t>
  </si>
  <si>
    <t>ORD1703</t>
  </si>
  <si>
    <t>ORD1704</t>
  </si>
  <si>
    <t>CUST163</t>
  </si>
  <si>
    <t>ORD1705</t>
  </si>
  <si>
    <t>ORD1706</t>
  </si>
  <si>
    <t>CUST762</t>
  </si>
  <si>
    <t>ORD1707</t>
  </si>
  <si>
    <t>ORD1708</t>
  </si>
  <si>
    <t>ORD1709</t>
  </si>
  <si>
    <t>CUST690</t>
  </si>
  <si>
    <t>ORD1710</t>
  </si>
  <si>
    <t>ORD1711</t>
  </si>
  <si>
    <t>CUST558</t>
  </si>
  <si>
    <t>ORD1712</t>
  </si>
  <si>
    <t>CUST851</t>
  </si>
  <si>
    <t>ORD1713</t>
  </si>
  <si>
    <t>CUST562</t>
  </si>
  <si>
    <t>ORD1714</t>
  </si>
  <si>
    <t>CUST531</t>
  </si>
  <si>
    <t>ORD1715</t>
  </si>
  <si>
    <t>ORD1716</t>
  </si>
  <si>
    <t>ORD1717</t>
  </si>
  <si>
    <t>CUST546</t>
  </si>
  <si>
    <t>ORD1718</t>
  </si>
  <si>
    <t>ORD1719</t>
  </si>
  <si>
    <t>CUST413</t>
  </si>
  <si>
    <t>ORD1720</t>
  </si>
  <si>
    <t>ORD1721</t>
  </si>
  <si>
    <t>ORD1722</t>
  </si>
  <si>
    <t>ORD1723</t>
  </si>
  <si>
    <t>CUST370</t>
  </si>
  <si>
    <t>ORD1724</t>
  </si>
  <si>
    <t>ORD1725</t>
  </si>
  <si>
    <t>ORD1726</t>
  </si>
  <si>
    <t>CUST489</t>
  </si>
  <si>
    <t>ORD1727</t>
  </si>
  <si>
    <t>CUST192</t>
  </si>
  <si>
    <t>ORD1728</t>
  </si>
  <si>
    <t>ORD1729</t>
  </si>
  <si>
    <t>CUST152</t>
  </si>
  <si>
    <t>ORD1730</t>
  </si>
  <si>
    <t>ORD1731</t>
  </si>
  <si>
    <t>ORD1732</t>
  </si>
  <si>
    <t>CUST987</t>
  </si>
  <si>
    <t>ORD1733</t>
  </si>
  <si>
    <t>ORD1734</t>
  </si>
  <si>
    <t>ORD1735</t>
  </si>
  <si>
    <t>CUST956</t>
  </si>
  <si>
    <t>ORD1736</t>
  </si>
  <si>
    <t>ORD1737</t>
  </si>
  <si>
    <t>CUST587</t>
  </si>
  <si>
    <t>ORD1738</t>
  </si>
  <si>
    <t>CUST777</t>
  </si>
  <si>
    <t>ORD1739</t>
  </si>
  <si>
    <t>ORD1740</t>
  </si>
  <si>
    <t>CUST135</t>
  </si>
  <si>
    <t>ORD1741</t>
  </si>
  <si>
    <t>CUST954</t>
  </si>
  <si>
    <t>ORD1742</t>
  </si>
  <si>
    <t>ORD1743</t>
  </si>
  <si>
    <t>CUST246</t>
  </si>
  <si>
    <t>ORD1744</t>
  </si>
  <si>
    <t>CUST921</t>
  </si>
  <si>
    <t>ORD1745</t>
  </si>
  <si>
    <t>ORD1746</t>
  </si>
  <si>
    <t>ORD1747</t>
  </si>
  <si>
    <t>CUST942</t>
  </si>
  <si>
    <t>ORD1748</t>
  </si>
  <si>
    <t>CUST705</t>
  </si>
  <si>
    <t>ORD1749</t>
  </si>
  <si>
    <t>CUST422</t>
  </si>
  <si>
    <t>ORD1750</t>
  </si>
  <si>
    <t>ORD1751</t>
  </si>
  <si>
    <t>ORD1752</t>
  </si>
  <si>
    <t>CUST416</t>
  </si>
  <si>
    <t>ORD1753</t>
  </si>
  <si>
    <t>CUST863</t>
  </si>
  <si>
    <t>ORD1754</t>
  </si>
  <si>
    <t>CUST672</t>
  </si>
  <si>
    <t>ORD1755</t>
  </si>
  <si>
    <t>ORD1756</t>
  </si>
  <si>
    <t>CUST630</t>
  </si>
  <si>
    <t>ORD1757</t>
  </si>
  <si>
    <t>CUST224</t>
  </si>
  <si>
    <t>ORD1758</t>
  </si>
  <si>
    <t>ORD1759</t>
  </si>
  <si>
    <t>CUST678</t>
  </si>
  <si>
    <t>ORD1760</t>
  </si>
  <si>
    <t>ORD1761</t>
  </si>
  <si>
    <t>ORD1762</t>
  </si>
  <si>
    <t>ORD1763</t>
  </si>
  <si>
    <t>CUST328</t>
  </si>
  <si>
    <t>ORD1764</t>
  </si>
  <si>
    <t>ORD1765</t>
  </si>
  <si>
    <t>CUST622</t>
  </si>
  <si>
    <t>ORD1766</t>
  </si>
  <si>
    <t>ORD1767</t>
  </si>
  <si>
    <t>ORD1768</t>
  </si>
  <si>
    <t>CUST928</t>
  </si>
  <si>
    <t>ORD1769</t>
  </si>
  <si>
    <t>CUST837</t>
  </si>
  <si>
    <t>ORD1770</t>
  </si>
  <si>
    <t>ORD1771</t>
  </si>
  <si>
    <t>ORD1772</t>
  </si>
  <si>
    <t>ORD1773</t>
  </si>
  <si>
    <t>CUST431</t>
  </si>
  <si>
    <t>ORD1774</t>
  </si>
  <si>
    <t>ORD1775</t>
  </si>
  <si>
    <t>CUST199</t>
  </si>
  <si>
    <t>ORD1776</t>
  </si>
  <si>
    <t>CUST469</t>
  </si>
  <si>
    <t>ORD1777</t>
  </si>
  <si>
    <t>ORD1778</t>
  </si>
  <si>
    <t>CUST550</t>
  </si>
  <si>
    <t>ORD1779</t>
  </si>
  <si>
    <t>ORD1780</t>
  </si>
  <si>
    <t>ORD1781</t>
  </si>
  <si>
    <t>CUST242</t>
  </si>
  <si>
    <t>ORD1782</t>
  </si>
  <si>
    <t>CUST149</t>
  </si>
  <si>
    <t>ORD1783</t>
  </si>
  <si>
    <t>CUST555</t>
  </si>
  <si>
    <t>ORD1784</t>
  </si>
  <si>
    <t>ORD1785</t>
  </si>
  <si>
    <t>ORD1786</t>
  </si>
  <si>
    <t>CUST960</t>
  </si>
  <si>
    <t>ORD1787</t>
  </si>
  <si>
    <t>ORD1788</t>
  </si>
  <si>
    <t>CUST214</t>
  </si>
  <si>
    <t>ORD1789</t>
  </si>
  <si>
    <t>ORD1790</t>
  </si>
  <si>
    <t>ORD1791</t>
  </si>
  <si>
    <t>CUST144</t>
  </si>
  <si>
    <t>ORD1792</t>
  </si>
  <si>
    <t>ORD1793</t>
  </si>
  <si>
    <t>ORD1794</t>
  </si>
  <si>
    <t>CUST465</t>
  </si>
  <si>
    <t>ORD1795</t>
  </si>
  <si>
    <t>CUST350</t>
  </si>
  <si>
    <t>ORD1796</t>
  </si>
  <si>
    <t>CUST111</t>
  </si>
  <si>
    <t>ORD1797</t>
  </si>
  <si>
    <t>ORD1798</t>
  </si>
  <si>
    <t>ORD1799</t>
  </si>
  <si>
    <t>ORD1800</t>
  </si>
  <si>
    <t>CUST399</t>
  </si>
  <si>
    <t>ORD1801</t>
  </si>
  <si>
    <t>CUST259</t>
  </si>
  <si>
    <t>ORD1802</t>
  </si>
  <si>
    <t>CUST658</t>
  </si>
  <si>
    <t>ORD1803</t>
  </si>
  <si>
    <t>ORD1804</t>
  </si>
  <si>
    <t>ORD1805</t>
  </si>
  <si>
    <t>CUST915</t>
  </si>
  <si>
    <t>ORD1806</t>
  </si>
  <si>
    <t>CUST966</t>
  </si>
  <si>
    <t>ORD1807</t>
  </si>
  <si>
    <t>CUST356</t>
  </si>
  <si>
    <t>ORD1808</t>
  </si>
  <si>
    <t>ORD1809</t>
  </si>
  <si>
    <t>ORD1810</t>
  </si>
  <si>
    <t>CUST166</t>
  </si>
  <si>
    <t>ORD1811</t>
  </si>
  <si>
    <t>CUST303</t>
  </si>
  <si>
    <t>ORD1812</t>
  </si>
  <si>
    <t>ORD1813</t>
  </si>
  <si>
    <t>CUST437</t>
  </si>
  <si>
    <t>ORD1814</t>
  </si>
  <si>
    <t>ORD1815</t>
  </si>
  <si>
    <t>CUST218</t>
  </si>
  <si>
    <t>ORD1816</t>
  </si>
  <si>
    <t>CUST864</t>
  </si>
  <si>
    <t>ORD1817</t>
  </si>
  <si>
    <t>ORD1818</t>
  </si>
  <si>
    <t>CUST322</t>
  </si>
  <si>
    <t>ORD1819</t>
  </si>
  <si>
    <t>CUST816</t>
  </si>
  <si>
    <t>ORD1820</t>
  </si>
  <si>
    <t>CUST581</t>
  </si>
  <si>
    <t>ORD1821</t>
  </si>
  <si>
    <t>ORD1822</t>
  </si>
  <si>
    <t>ORD1823</t>
  </si>
  <si>
    <t>ORD1824</t>
  </si>
  <si>
    <t>ORD1825</t>
  </si>
  <si>
    <t>ORD1826</t>
  </si>
  <si>
    <t>CUST901</t>
  </si>
  <si>
    <t>ORD1827</t>
  </si>
  <si>
    <t>ORD1828</t>
  </si>
  <si>
    <t>CUST483</t>
  </si>
  <si>
    <t>ORD1829</t>
  </si>
  <si>
    <t>CUST963</t>
  </si>
  <si>
    <t>ORD1830</t>
  </si>
  <si>
    <t>CUST975</t>
  </si>
  <si>
    <t>ORD1831</t>
  </si>
  <si>
    <t>ORD1832</t>
  </si>
  <si>
    <t>CUST940</t>
  </si>
  <si>
    <t>ORD1833</t>
  </si>
  <si>
    <t>CUST867</t>
  </si>
  <si>
    <t>ORD1834</t>
  </si>
  <si>
    <t>ORD1835</t>
  </si>
  <si>
    <t>CUST971</t>
  </si>
  <si>
    <t>ORD1836</t>
  </si>
  <si>
    <t>ORD1837</t>
  </si>
  <si>
    <t>CUST872</t>
  </si>
  <si>
    <t>ORD1838</t>
  </si>
  <si>
    <t>ORD1839</t>
  </si>
  <si>
    <t>CUST691</t>
  </si>
  <si>
    <t>ORD1840</t>
  </si>
  <si>
    <t>ORD1841</t>
  </si>
  <si>
    <t>ORD1842</t>
  </si>
  <si>
    <t>CUST387</t>
  </si>
  <si>
    <t>ORD1843</t>
  </si>
  <si>
    <t>CUST180</t>
  </si>
  <si>
    <t>ORD1844</t>
  </si>
  <si>
    <t>ORD1845</t>
  </si>
  <si>
    <t>ORD1846</t>
  </si>
  <si>
    <t>ORD1847</t>
  </si>
  <si>
    <t>CUST271</t>
  </si>
  <si>
    <t>ORD1848</t>
  </si>
  <si>
    <t>ORD1849</t>
  </si>
  <si>
    <t>CUST898</t>
  </si>
  <si>
    <t>ORD1850</t>
  </si>
  <si>
    <t>ORD1851</t>
  </si>
  <si>
    <t>CUST978</t>
  </si>
  <si>
    <t>ORD1852</t>
  </si>
  <si>
    <t>CUST155</t>
  </si>
  <si>
    <t>ORD1853</t>
  </si>
  <si>
    <t>CUST287</t>
  </si>
  <si>
    <t>ORD1854</t>
  </si>
  <si>
    <t>ORD1855</t>
  </si>
  <si>
    <t>CUST527</t>
  </si>
  <si>
    <t>ORD1856</t>
  </si>
  <si>
    <t>ORD1857</t>
  </si>
  <si>
    <t>ORD1858</t>
  </si>
  <si>
    <t>ORD1859</t>
  </si>
  <si>
    <t>CUST570</t>
  </si>
  <si>
    <t>ORD1860</t>
  </si>
  <si>
    <t>ORD1861</t>
  </si>
  <si>
    <t>ORD1862</t>
  </si>
  <si>
    <t>CUST789</t>
  </si>
  <si>
    <t>ORD1863</t>
  </si>
  <si>
    <t>CUST171</t>
  </si>
  <si>
    <t>ORD1864</t>
  </si>
  <si>
    <t>ORD1865</t>
  </si>
  <si>
    <t>CUST802</t>
  </si>
  <si>
    <t>ORD1866</t>
  </si>
  <si>
    <t>ORD1867</t>
  </si>
  <si>
    <t>ORD1868</t>
  </si>
  <si>
    <t>ORD1869</t>
  </si>
  <si>
    <t>CUST645</t>
  </si>
  <si>
    <t>ORD1870</t>
  </si>
  <si>
    <t>CUST419</t>
  </si>
  <si>
    <t>ORD1871</t>
  </si>
  <si>
    <t>CUST736</t>
  </si>
  <si>
    <t>ORD1872</t>
  </si>
  <si>
    <t>ORD1873</t>
  </si>
  <si>
    <t>ORD1874</t>
  </si>
  <si>
    <t>ORD1875</t>
  </si>
  <si>
    <t>ORD1876</t>
  </si>
  <si>
    <t>CUST922</t>
  </si>
  <si>
    <t>ORD1877</t>
  </si>
  <si>
    <t>ORD1878</t>
  </si>
  <si>
    <t>ORD1879</t>
  </si>
  <si>
    <t>ORD1880</t>
  </si>
  <si>
    <t>ORD1881</t>
  </si>
  <si>
    <t>ORD1882</t>
  </si>
  <si>
    <t>CUST331</t>
  </si>
  <si>
    <t>ORD1883</t>
  </si>
  <si>
    <t>ORD1884</t>
  </si>
  <si>
    <t>ORD1885</t>
  </si>
  <si>
    <t>ORD1886</t>
  </si>
  <si>
    <t>ORD1887</t>
  </si>
  <si>
    <t>CUST461</t>
  </si>
  <si>
    <t>ORD1888</t>
  </si>
  <si>
    <t>ORD1889</t>
  </si>
  <si>
    <t>ORD1890</t>
  </si>
  <si>
    <t>ORD1891</t>
  </si>
  <si>
    <t>ORD1892</t>
  </si>
  <si>
    <t>ORD1893</t>
  </si>
  <si>
    <t>ORD1894</t>
  </si>
  <si>
    <t>CUST973</t>
  </si>
  <si>
    <t>ORD1895</t>
  </si>
  <si>
    <t>ORD1896</t>
  </si>
  <si>
    <t>ORD1897</t>
  </si>
  <si>
    <t>ORD1898</t>
  </si>
  <si>
    <t>CUST974</t>
  </si>
  <si>
    <t>ORD1899</t>
  </si>
  <si>
    <t>ORD1900</t>
  </si>
  <si>
    <t>ORD1901</t>
  </si>
  <si>
    <t>CUST687</t>
  </si>
  <si>
    <t>ORD1902</t>
  </si>
  <si>
    <t>CUST151</t>
  </si>
  <si>
    <t>ORD1903</t>
  </si>
  <si>
    <t>ORD1904</t>
  </si>
  <si>
    <t>ORD1905</t>
  </si>
  <si>
    <t>CUST554</t>
  </si>
  <si>
    <t>ORD1906</t>
  </si>
  <si>
    <t>ORD1907</t>
  </si>
  <si>
    <t>ORD1908</t>
  </si>
  <si>
    <t>CUST560</t>
  </si>
  <si>
    <t>ORD1909</t>
  </si>
  <si>
    <t>CUST883</t>
  </si>
  <si>
    <t>ORD1910</t>
  </si>
  <si>
    <t>ORD1911</t>
  </si>
  <si>
    <t>CUST194</t>
  </si>
  <si>
    <t>ORD1912</t>
  </si>
  <si>
    <t>CUST181</t>
  </si>
  <si>
    <t>ORD1913</t>
  </si>
  <si>
    <t>ORD1914</t>
  </si>
  <si>
    <t>ORD1915</t>
  </si>
  <si>
    <t>ORD1916</t>
  </si>
  <si>
    <t>ORD1917</t>
  </si>
  <si>
    <t>ORD1918</t>
  </si>
  <si>
    <t>ORD1919</t>
  </si>
  <si>
    <t>ORD1920</t>
  </si>
  <si>
    <t>CUST754</t>
  </si>
  <si>
    <t>ORD1921</t>
  </si>
  <si>
    <t>ORD1922</t>
  </si>
  <si>
    <t>CUST377</t>
  </si>
  <si>
    <t>ORD1923</t>
  </si>
  <si>
    <t>ORD1924</t>
  </si>
  <si>
    <t>ORD1925</t>
  </si>
  <si>
    <t>ORD1926</t>
  </si>
  <si>
    <t>ORD1927</t>
  </si>
  <si>
    <t>ORD1928</t>
  </si>
  <si>
    <t>ORD1929</t>
  </si>
  <si>
    <t>CUST859</t>
  </si>
  <si>
    <t>ORD1930</t>
  </si>
  <si>
    <t>ORD1931</t>
  </si>
  <si>
    <t>ORD1932</t>
  </si>
  <si>
    <t>ORD1933</t>
  </si>
  <si>
    <t>CUST253</t>
  </si>
  <si>
    <t>ORD1934</t>
  </si>
  <si>
    <t>ORD1935</t>
  </si>
  <si>
    <t>ORD1936</t>
  </si>
  <si>
    <t>CUST968</t>
  </si>
  <si>
    <t>ORD1937</t>
  </si>
  <si>
    <t>ORD1938</t>
  </si>
  <si>
    <t>ORD1939</t>
  </si>
  <si>
    <t>CUST114</t>
  </si>
  <si>
    <t>ORD1940</t>
  </si>
  <si>
    <t>ORD1941</t>
  </si>
  <si>
    <t>CUST780</t>
  </si>
  <si>
    <t>ORD1942</t>
  </si>
  <si>
    <t>CUST188</t>
  </si>
  <si>
    <t>ORD1943</t>
  </si>
  <si>
    <t>ORD1944</t>
  </si>
  <si>
    <t>ORD1945</t>
  </si>
  <si>
    <t>ORD1946</t>
  </si>
  <si>
    <t>ORD1947</t>
  </si>
  <si>
    <t>CUST345</t>
  </si>
  <si>
    <t>ORD1948</t>
  </si>
  <si>
    <t>ORD1949</t>
  </si>
  <si>
    <t>ORD1950</t>
  </si>
  <si>
    <t>ORD1951</t>
  </si>
  <si>
    <t>ORD1952</t>
  </si>
  <si>
    <t>CUST852</t>
  </si>
  <si>
    <t>ORD1953</t>
  </si>
  <si>
    <t>ORD1954</t>
  </si>
  <si>
    <t>ORD1955</t>
  </si>
  <si>
    <t>ORD1956</t>
  </si>
  <si>
    <t>CUST249</t>
  </si>
  <si>
    <t>ORD1957</t>
  </si>
  <si>
    <t>CUST874</t>
  </si>
  <si>
    <t>ORD1958</t>
  </si>
  <si>
    <t>ORD1959</t>
  </si>
  <si>
    <t>ORD1960</t>
  </si>
  <si>
    <t>ORD1961</t>
  </si>
  <si>
    <t>CUST382</t>
  </si>
  <si>
    <t>ORD1962</t>
  </si>
  <si>
    <t>CUST962</t>
  </si>
  <si>
    <t>ORD1963</t>
  </si>
  <si>
    <t>CUST549</t>
  </si>
  <si>
    <t>ORD1964</t>
  </si>
  <si>
    <t>ORD1965</t>
  </si>
  <si>
    <t>CUST136</t>
  </si>
  <si>
    <t>ORD1966</t>
  </si>
  <si>
    <t>ORD1967</t>
  </si>
  <si>
    <t>ORD1968</t>
  </si>
  <si>
    <t>ORD1969</t>
  </si>
  <si>
    <t>CUST981</t>
  </si>
  <si>
    <t>ORD1970</t>
  </si>
  <si>
    <t>CUST943</t>
  </si>
  <si>
    <t>ORD1971</t>
  </si>
  <si>
    <t>CUST102</t>
  </si>
  <si>
    <t>ORD1972</t>
  </si>
  <si>
    <t>ORD1973</t>
  </si>
  <si>
    <t>ORD1974</t>
  </si>
  <si>
    <t>ORD1975</t>
  </si>
  <si>
    <t>CUST662</t>
  </si>
  <si>
    <t>ORD1976</t>
  </si>
  <si>
    <t>ORD1977</t>
  </si>
  <si>
    <t>CUST334</t>
  </si>
  <si>
    <t>ORD1978</t>
  </si>
  <si>
    <t>CUST638</t>
  </si>
  <si>
    <t>ORD1979</t>
  </si>
  <si>
    <t>CUST423</t>
  </si>
  <si>
    <t>ORD1980</t>
  </si>
  <si>
    <t>ORD1981</t>
  </si>
  <si>
    <t>ORD1982</t>
  </si>
  <si>
    <t>ORD1983</t>
  </si>
  <si>
    <t>ORD1984</t>
  </si>
  <si>
    <t>ORD1985</t>
  </si>
  <si>
    <t>CUST347</t>
  </si>
  <si>
    <t>ORD1986</t>
  </si>
  <si>
    <t>ORD1987</t>
  </si>
  <si>
    <t>ORD1988</t>
  </si>
  <si>
    <t>ORD1989</t>
  </si>
  <si>
    <t>ORD1990</t>
  </si>
  <si>
    <t>ORD1991</t>
  </si>
  <si>
    <t>ORD1992</t>
  </si>
  <si>
    <t>ORD1993</t>
  </si>
  <si>
    <t>ORD1994</t>
  </si>
  <si>
    <t>ORD1995</t>
  </si>
  <si>
    <t>ORD1996</t>
  </si>
  <si>
    <t>CUST677</t>
  </si>
  <si>
    <t>ORD1997</t>
  </si>
  <si>
    <t>CUST317</t>
  </si>
  <si>
    <t>ORD1998</t>
  </si>
  <si>
    <t>CUST700</t>
  </si>
  <si>
    <t>ORD1999</t>
  </si>
  <si>
    <t>ORD2000</t>
  </si>
  <si>
    <t>CUST908</t>
  </si>
  <si>
    <t>ORD2001</t>
  </si>
  <si>
    <t>ORD2002</t>
  </si>
  <si>
    <t>CUST696</t>
  </si>
  <si>
    <t>ORD2003</t>
  </si>
  <si>
    <t>CUST843</t>
  </si>
  <si>
    <t>ORD2004</t>
  </si>
  <si>
    <t>CUST368</t>
  </si>
  <si>
    <t>ORD2005</t>
  </si>
  <si>
    <t>CUST860</t>
  </si>
  <si>
    <t>ORD2006</t>
  </si>
  <si>
    <t>ORD2007</t>
  </si>
  <si>
    <t>ORD2008</t>
  </si>
  <si>
    <t>CUST178</t>
  </si>
  <si>
    <t>ORD2009</t>
  </si>
  <si>
    <t>CUST929</t>
  </si>
  <si>
    <t>ORD2010</t>
  </si>
  <si>
    <t>CUST491</t>
  </si>
  <si>
    <t>ORD2011</t>
  </si>
  <si>
    <t>CUST397</t>
  </si>
  <si>
    <t>ORD2012</t>
  </si>
  <si>
    <t>ORD2013</t>
  </si>
  <si>
    <t>CUST553</t>
  </si>
  <si>
    <t>ORD2014</t>
  </si>
  <si>
    <t>ORD2015</t>
  </si>
  <si>
    <t>ORD2016</t>
  </si>
  <si>
    <t>ORD2017</t>
  </si>
  <si>
    <t>ORD2018</t>
  </si>
  <si>
    <t>ORD2019</t>
  </si>
  <si>
    <t>CUST295</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</si>
  <si>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</si>
  <si>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</si>
  <si>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</si>
  <si>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</si>
  <si>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</si>
  <si>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</si>
  <si>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</si>
  <si>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</si>
  <si>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</si>
  <si>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</si>
  <si>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</si>
  <si>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</si>
  <si>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</si>
  <si>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</si>
  <si>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</si>
  <si>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</si>
  <si>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</si>
  <si>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</si>
  <si>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</si>
  <si>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</si>
  <si>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</si>
  <si>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CUST842</t>
  </si>
  <si>
    <t>ORD2041</t>
  </si>
  <si>
    <t>ORD2042</t>
  </si>
  <si>
    <t>ORD2043</t>
  </si>
  <si>
    <t>CUST552</t>
  </si>
  <si>
    <t>ORD2044</t>
  </si>
  <si>
    <t>ORD2045</t>
  </si>
  <si>
    <t>ORD2046</t>
  </si>
  <si>
    <t>ORD2047</t>
  </si>
  <si>
    <t>ORD2048</t>
  </si>
  <si>
    <t>CUST167</t>
  </si>
  <si>
    <t>ORD2049</t>
  </si>
  <si>
    <t>ORD2050</t>
  </si>
  <si>
    <t>CUST154</t>
  </si>
  <si>
    <t>ORD2051</t>
  </si>
  <si>
    <t>ORD2052</t>
  </si>
  <si>
    <t>ORD2053</t>
  </si>
  <si>
    <t>CUST139</t>
  </si>
  <si>
    <t>ORD2054</t>
  </si>
  <si>
    <t>CUST529</t>
  </si>
  <si>
    <t>ORD2055</t>
  </si>
  <si>
    <t>ORD2056</t>
  </si>
  <si>
    <t>CUST873</t>
  </si>
  <si>
    <t>ORD2057</t>
  </si>
  <si>
    <t>ORD2058</t>
  </si>
  <si>
    <t>ORD2059</t>
  </si>
  <si>
    <t>CUST532</t>
  </si>
  <si>
    <t>ORD2060</t>
  </si>
  <si>
    <t>ORD2061</t>
  </si>
  <si>
    <t>ORD2062</t>
  </si>
  <si>
    <t>ORD2063</t>
  </si>
  <si>
    <t>ORD2064</t>
  </si>
  <si>
    <t>CUST477</t>
  </si>
  <si>
    <t>ORD2065</t>
  </si>
  <si>
    <t>ORD2066</t>
  </si>
  <si>
    <t>CUST791</t>
  </si>
  <si>
    <t>ORD2067</t>
  </si>
  <si>
    <t>ORD2068</t>
  </si>
  <si>
    <t>CUST282</t>
  </si>
  <si>
    <t>ORD2069</t>
  </si>
  <si>
    <t>CUST191</t>
  </si>
  <si>
    <t>ORD2070</t>
  </si>
  <si>
    <t>ORD2071</t>
  </si>
  <si>
    <t>CUST417</t>
  </si>
  <si>
    <t>ORD2072</t>
  </si>
  <si>
    <t>ORD2073</t>
  </si>
  <si>
    <t>ORD2074</t>
  </si>
  <si>
    <t>ORD2075</t>
  </si>
  <si>
    <t>ORD2076</t>
  </si>
  <si>
    <t>ORD2077</t>
  </si>
  <si>
    <t>ORD2078</t>
  </si>
  <si>
    <t>ORD2079</t>
  </si>
  <si>
    <t>CUST176</t>
  </si>
  <si>
    <t>ORD2080</t>
  </si>
  <si>
    <t>CUST693</t>
  </si>
  <si>
    <t>ORD2081</t>
  </si>
  <si>
    <t>ORD2082</t>
  </si>
  <si>
    <t>CUST878</t>
  </si>
  <si>
    <t>ORD2083</t>
  </si>
  <si>
    <t>ORD2084</t>
  </si>
  <si>
    <t>ORD2085</t>
  </si>
  <si>
    <t>ORD2086</t>
  </si>
  <si>
    <t>ORD2087</t>
  </si>
  <si>
    <t>ORD2088</t>
  </si>
  <si>
    <t>CUST623</t>
  </si>
  <si>
    <t>ORD2089</t>
  </si>
  <si>
    <t>ORD2090</t>
  </si>
  <si>
    <t>ORD2091</t>
  </si>
  <si>
    <t>ORD2092</t>
  </si>
  <si>
    <t>ORD2093</t>
  </si>
  <si>
    <t>ORD2094</t>
  </si>
  <si>
    <t>ORD2095</t>
  </si>
  <si>
    <t>CUST407</t>
  </si>
  <si>
    <t>ORD2096</t>
  </si>
  <si>
    <t>ORD2097</t>
  </si>
  <si>
    <t>ORD2098</t>
  </si>
  <si>
    <t>CUST603</t>
  </si>
  <si>
    <t>ORD2099</t>
  </si>
  <si>
    <t>ORD2100</t>
  </si>
  <si>
    <t>ORD2101</t>
  </si>
  <si>
    <t>ORD2102</t>
  </si>
  <si>
    <t>ORD2103</t>
  </si>
  <si>
    <t>ORD2104</t>
  </si>
  <si>
    <t>CUST993</t>
  </si>
  <si>
    <t>ORD2105</t>
  </si>
  <si>
    <t>ORD2106</t>
  </si>
  <si>
    <t>ORD2107</t>
  </si>
  <si>
    <t>CUST168</t>
  </si>
  <si>
    <t>ORD2108</t>
  </si>
  <si>
    <t>ORD2109</t>
  </si>
  <si>
    <t>ORD2110</t>
  </si>
  <si>
    <t>ORD2111</t>
  </si>
  <si>
    <t>ORD2112</t>
  </si>
  <si>
    <t>CUST639</t>
  </si>
  <si>
    <t>ORD2113</t>
  </si>
  <si>
    <t>ORD2114</t>
  </si>
  <si>
    <t>ORD2115</t>
  </si>
  <si>
    <t>ORD2116</t>
  </si>
  <si>
    <t>ORD2117</t>
  </si>
  <si>
    <t>CUST239</t>
  </si>
  <si>
    <t>ORD2118</t>
  </si>
  <si>
    <t>CUST292</t>
  </si>
  <si>
    <t>ORD2119</t>
  </si>
  <si>
    <t>ORD2120</t>
  </si>
  <si>
    <t>ORD2121</t>
  </si>
  <si>
    <t>ORD2122</t>
  </si>
  <si>
    <t>ORD2123</t>
  </si>
  <si>
    <t>ORD2124</t>
  </si>
  <si>
    <t>ORD2125</t>
  </si>
  <si>
    <t>CUST747</t>
  </si>
  <si>
    <t>ORD2126</t>
  </si>
  <si>
    <t>ORD2127</t>
  </si>
  <si>
    <t>ORD2128</t>
  </si>
  <si>
    <t>CUST904</t>
  </si>
  <si>
    <t>ORD2129</t>
  </si>
  <si>
    <t>CUST648</t>
  </si>
  <si>
    <t>ORD2130</t>
  </si>
  <si>
    <t>ORD2131</t>
  </si>
  <si>
    <t>CUST449</t>
  </si>
  <si>
    <t>ORD2132</t>
  </si>
  <si>
    <t>CUST475</t>
  </si>
  <si>
    <t>ORD2133</t>
  </si>
  <si>
    <t>ORD2134</t>
  </si>
  <si>
    <t>CUST189</t>
  </si>
  <si>
    <t>ORD2135</t>
  </si>
  <si>
    <t>CUST919</t>
  </si>
  <si>
    <t>ORD2136</t>
  </si>
  <si>
    <t>CUST669</t>
  </si>
  <si>
    <t>ORD2137</t>
  </si>
  <si>
    <t>ORD2138</t>
  </si>
  <si>
    <t>ORD2139</t>
  </si>
  <si>
    <t>CUST332</t>
  </si>
  <si>
    <t>ORD2140</t>
  </si>
  <si>
    <t>ORD2141</t>
  </si>
  <si>
    <t>ORD2142</t>
  </si>
  <si>
    <t>CUST618</t>
  </si>
  <si>
    <t>ORD2143</t>
  </si>
  <si>
    <t>ORD2144</t>
  </si>
  <si>
    <t>ORD2145</t>
  </si>
  <si>
    <t>ORD2146</t>
  </si>
  <si>
    <t>CUST989</t>
  </si>
  <si>
    <t>ORD2147</t>
  </si>
  <si>
    <t>ORD2148</t>
  </si>
  <si>
    <t>ORD2149</t>
  </si>
  <si>
    <t>ORD2150</t>
  </si>
  <si>
    <t>ORD2151</t>
  </si>
  <si>
    <t>CUST286</t>
  </si>
  <si>
    <t>ORD2152</t>
  </si>
  <si>
    <t>ORD2153</t>
  </si>
  <si>
    <t>CUST458</t>
  </si>
  <si>
    <t>ORD2154</t>
  </si>
  <si>
    <t>ORD2155</t>
  </si>
  <si>
    <t>CUST733</t>
  </si>
  <si>
    <t>ORD2156</t>
  </si>
  <si>
    <t>CUST225</t>
  </si>
  <si>
    <t>ORD2157</t>
  </si>
  <si>
    <t>ORD2158</t>
  </si>
  <si>
    <t>ORD2159</t>
  </si>
  <si>
    <t>ORD2160</t>
  </si>
  <si>
    <t>CUST133</t>
  </si>
  <si>
    <t>ORD2161</t>
  </si>
  <si>
    <t>CUST545</t>
  </si>
  <si>
    <t>ORD2162</t>
  </si>
  <si>
    <t>ORD2163</t>
  </si>
  <si>
    <t>ORD2164</t>
  </si>
  <si>
    <t>ORD2165</t>
  </si>
  <si>
    <t>ORD2166</t>
  </si>
  <si>
    <t>ORD2167</t>
  </si>
  <si>
    <t>ORD2168</t>
  </si>
  <si>
    <t>ORD2169</t>
  </si>
  <si>
    <t>ORD2170</t>
  </si>
  <si>
    <t>ORD2171</t>
  </si>
  <si>
    <t>ORD2172</t>
  </si>
  <si>
    <t>CUST454</t>
  </si>
  <si>
    <t>ORD2173</t>
  </si>
  <si>
    <t>ORD2174</t>
  </si>
  <si>
    <t>ORD2175</t>
  </si>
  <si>
    <t>CUST653</t>
  </si>
  <si>
    <t>ORD2176</t>
  </si>
  <si>
    <t>ORD2177</t>
  </si>
  <si>
    <t>CUST797</t>
  </si>
  <si>
    <t>ORD2178</t>
  </si>
  <si>
    <t>ORD2179</t>
  </si>
  <si>
    <t>ORD2180</t>
  </si>
  <si>
    <t>ORD2181</t>
  </si>
  <si>
    <t>ORD2182</t>
  </si>
  <si>
    <t>CUST375</t>
  </si>
  <si>
    <t>ORD2183</t>
  </si>
  <si>
    <t>CUST646</t>
  </si>
  <si>
    <t>ORD2184</t>
  </si>
  <si>
    <t>ORD2185</t>
  </si>
  <si>
    <t>ORD2186</t>
  </si>
  <si>
    <t>ORD2187</t>
  </si>
  <si>
    <t>CUST589</t>
  </si>
  <si>
    <t>ORD2188</t>
  </si>
  <si>
    <t>ORD2189</t>
  </si>
  <si>
    <t>ORD2190</t>
  </si>
  <si>
    <t>ORD2191</t>
  </si>
  <si>
    <t>ORD2192</t>
  </si>
  <si>
    <t>CUST714</t>
  </si>
  <si>
    <t>ORD2193</t>
  </si>
  <si>
    <t>ORD2194</t>
  </si>
  <si>
    <t>ORD2195</t>
  </si>
  <si>
    <t>ORD2196</t>
  </si>
  <si>
    <t>ORD2197</t>
  </si>
  <si>
    <t>ORD2198</t>
  </si>
  <si>
    <t>ORD2199</t>
  </si>
  <si>
    <t>CUST745</t>
  </si>
  <si>
    <t>ORD2200</t>
  </si>
  <si>
    <t>ORD2201</t>
  </si>
  <si>
    <t>CUST319</t>
  </si>
  <si>
    <t>ORD2202</t>
  </si>
  <si>
    <t>ORD2203</t>
  </si>
  <si>
    <t>ORD2204</t>
  </si>
  <si>
    <t>ORD2205</t>
  </si>
  <si>
    <t>CUST551</t>
  </si>
  <si>
    <t>ORD2206</t>
  </si>
  <si>
    <t>ORD2207</t>
  </si>
  <si>
    <t>CUST770</t>
  </si>
  <si>
    <t>ORD2208</t>
  </si>
  <si>
    <t>CUST808</t>
  </si>
  <si>
    <t>ORD2209</t>
  </si>
  <si>
    <t>ORD2210</t>
  </si>
  <si>
    <t>CUST580</t>
  </si>
  <si>
    <t>ORD2211</t>
  </si>
  <si>
    <t>ORD2212</t>
  </si>
  <si>
    <t>ORD2213</t>
  </si>
  <si>
    <t>ORD2214</t>
  </si>
  <si>
    <t>ORD2215</t>
  </si>
  <si>
    <t>CUST389</t>
  </si>
  <si>
    <t>ORD2216</t>
  </si>
  <si>
    <t>ORD2217</t>
  </si>
  <si>
    <t>ORD2218</t>
  </si>
  <si>
    <t>ORD2219</t>
  </si>
  <si>
    <t>CUST177</t>
  </si>
  <si>
    <t>ORD2220</t>
  </si>
  <si>
    <t>CUST525</t>
  </si>
  <si>
    <t>ORD2221</t>
  </si>
  <si>
    <t>ORD2222</t>
  </si>
  <si>
    <t>ORD2223</t>
  </si>
  <si>
    <t>CUST821</t>
  </si>
  <si>
    <t>ORD2224</t>
  </si>
  <si>
    <t>ORD2225</t>
  </si>
  <si>
    <t>ORD2226</t>
  </si>
  <si>
    <t>ORD2227</t>
  </si>
  <si>
    <t>ORD2228</t>
  </si>
  <si>
    <t>ORD2229</t>
  </si>
  <si>
    <t>ORD2230</t>
  </si>
  <si>
    <t>ORD2231</t>
  </si>
  <si>
    <t>ORD2232</t>
  </si>
  <si>
    <t>CUST459</t>
  </si>
  <si>
    <t>ORD2233</t>
  </si>
  <si>
    <t>CUST882</t>
  </si>
  <si>
    <t>ORD2234</t>
  </si>
  <si>
    <t>ORD2235</t>
  </si>
  <si>
    <t>CUST522</t>
  </si>
  <si>
    <t>ORD2236</t>
  </si>
  <si>
    <t>ORD2237</t>
  </si>
  <si>
    <t>ORD2238</t>
  </si>
  <si>
    <t>ORD2239</t>
  </si>
  <si>
    <t>ORD2240</t>
  </si>
  <si>
    <t>ORD2241</t>
  </si>
  <si>
    <t>CUST170</t>
  </si>
  <si>
    <t>ORD2242</t>
  </si>
  <si>
    <t>ORD2243</t>
  </si>
  <si>
    <t>ORD2244</t>
  </si>
  <si>
    <t>ORD2245</t>
  </si>
  <si>
    <t>ORD2246</t>
  </si>
  <si>
    <t>CUST544</t>
  </si>
  <si>
    <t>ORD2247</t>
  </si>
  <si>
    <t>ORD2248</t>
  </si>
  <si>
    <t>ORD2249</t>
  </si>
  <si>
    <t>ORD2250</t>
  </si>
  <si>
    <t>ORD2251</t>
  </si>
  <si>
    <t>ORD2252</t>
  </si>
  <si>
    <t>CUST158</t>
  </si>
  <si>
    <t>ORD2253</t>
  </si>
  <si>
    <t>ORD2254</t>
  </si>
  <si>
    <t>ORD2255</t>
  </si>
  <si>
    <t>ORD2256</t>
  </si>
  <si>
    <t>CUST140</t>
  </si>
  <si>
    <t>ORD2257</t>
  </si>
  <si>
    <t>ORD2258</t>
  </si>
  <si>
    <t>CUST884</t>
  </si>
  <si>
    <t>ORD2259</t>
  </si>
  <si>
    <t>ORD2260</t>
  </si>
  <si>
    <t>ORD2261</t>
  </si>
  <si>
    <t>ORD2262</t>
  </si>
  <si>
    <t>ORD2263</t>
  </si>
  <si>
    <t>CUST479</t>
  </si>
  <si>
    <t>ORD2264</t>
  </si>
  <si>
    <t>CUST430</t>
  </si>
  <si>
    <t>ORD2265</t>
  </si>
  <si>
    <t>ORD2266</t>
  </si>
  <si>
    <t>ORD2267</t>
  </si>
  <si>
    <t>ORD2268</t>
  </si>
  <si>
    <t>ORD2269</t>
  </si>
  <si>
    <t>ORD2270</t>
  </si>
  <si>
    <t>ORD2271</t>
  </si>
  <si>
    <t>ORD2272</t>
  </si>
  <si>
    <t>ORD2273</t>
  </si>
  <si>
    <t>CUST541</t>
  </si>
  <si>
    <t>ORD2274</t>
  </si>
  <si>
    <t>ORD2275</t>
  </si>
  <si>
    <t>ORD2276</t>
  </si>
  <si>
    <t>CUST145</t>
  </si>
  <si>
    <t>ORD2277</t>
  </si>
  <si>
    <t>ORD2278</t>
  </si>
  <si>
    <t>ORD2279</t>
  </si>
  <si>
    <t>CUST371</t>
  </si>
  <si>
    <t>ORD2280</t>
  </si>
  <si>
    <t>CUST147</t>
  </si>
  <si>
    <t>ORD2281</t>
  </si>
  <si>
    <t>ORD2282</t>
  </si>
  <si>
    <t>ORD2283</t>
  </si>
  <si>
    <t>ORD2284</t>
  </si>
  <si>
    <t>CUST198</t>
  </si>
  <si>
    <t>ORD2285</t>
  </si>
  <si>
    <t>ORD2286</t>
  </si>
  <si>
    <t>ORD2287</t>
  </si>
  <si>
    <t>ORD2288</t>
  </si>
  <si>
    <t>ORD2289</t>
  </si>
  <si>
    <t>ORD2290</t>
  </si>
  <si>
    <t>CUST814</t>
  </si>
  <si>
    <t>ORD2291</t>
  </si>
  <si>
    <t>ORD2292</t>
  </si>
  <si>
    <t>ORD2293</t>
  </si>
  <si>
    <t>CUST604</t>
  </si>
  <si>
    <t>ORD2294</t>
  </si>
  <si>
    <t>ORD2295</t>
  </si>
  <si>
    <t>ORD2296</t>
  </si>
  <si>
    <t>ORD2297</t>
  </si>
  <si>
    <t>ORD2298</t>
  </si>
  <si>
    <t>ORD2299</t>
  </si>
  <si>
    <t>ORD2300</t>
  </si>
  <si>
    <t>CUST911</t>
  </si>
  <si>
    <t>ORD2301</t>
  </si>
  <si>
    <t>ORD2302</t>
  </si>
  <si>
    <t>ORD2303</t>
  </si>
  <si>
    <t>CUST865</t>
  </si>
  <si>
    <t>ORD2304</t>
  </si>
  <si>
    <t>ORD2305</t>
  </si>
  <si>
    <t>ORD2306</t>
  </si>
  <si>
    <t>ORD2307</t>
  </si>
  <si>
    <t>ORD2308</t>
  </si>
  <si>
    <t>ORD2309</t>
  </si>
  <si>
    <t>ORD2310</t>
  </si>
  <si>
    <t>ORD2311</t>
  </si>
  <si>
    <t>ORD2312</t>
  </si>
  <si>
    <t>CUST566</t>
  </si>
  <si>
    <t>ORD2313</t>
  </si>
  <si>
    <t>ORD2314</t>
  </si>
  <si>
    <t>CUST277</t>
  </si>
  <si>
    <t>ORD2315</t>
  </si>
  <si>
    <t>ORD2316</t>
  </si>
  <si>
    <t>ORD2317</t>
  </si>
  <si>
    <t>ORD2318</t>
  </si>
  <si>
    <t>CUST190</t>
  </si>
  <si>
    <t>ORD2319</t>
  </si>
  <si>
    <t>ORD2320</t>
  </si>
  <si>
    <t>ORD2321</t>
  </si>
  <si>
    <t>ORD2322</t>
  </si>
  <si>
    <t>ORD2323</t>
  </si>
  <si>
    <t>CUST578</t>
  </si>
  <si>
    <t>ORD2324</t>
  </si>
  <si>
    <t>CUST293</t>
  </si>
  <si>
    <t>ORD2325</t>
  </si>
  <si>
    <t>ORD2326</t>
  </si>
  <si>
    <t>ORD2327</t>
  </si>
  <si>
    <t>ORD2328</t>
  </si>
  <si>
    <t>ORD2329</t>
  </si>
  <si>
    <t>CUST517</t>
  </si>
  <si>
    <t>ORD2330</t>
  </si>
  <si>
    <t>ORD2331</t>
  </si>
  <si>
    <t>ORD2332</t>
  </si>
  <si>
    <t>CUST310</t>
  </si>
  <si>
    <t>ORD2333</t>
  </si>
  <si>
    <t>CUST326</t>
  </si>
  <si>
    <t>ORD2334</t>
  </si>
  <si>
    <t>ORD2335</t>
  </si>
  <si>
    <t>ORD2336</t>
  </si>
  <si>
    <t>ORD2337</t>
  </si>
  <si>
    <t>CUST862</t>
  </si>
  <si>
    <t>ORD2338</t>
  </si>
  <si>
    <t>CUST834</t>
  </si>
  <si>
    <t>ORD2339</t>
  </si>
  <si>
    <t>ORD2340</t>
  </si>
  <si>
    <t>ORD2341</t>
  </si>
  <si>
    <t>ORD2342</t>
  </si>
  <si>
    <t>ORD2343</t>
  </si>
  <si>
    <t>ORD2344</t>
  </si>
  <si>
    <t>CUST916</t>
  </si>
  <si>
    <t>ORD2345</t>
  </si>
  <si>
    <t>ORD2346</t>
  </si>
  <si>
    <t>ORD2347</t>
  </si>
  <si>
    <t>CUST591</t>
  </si>
  <si>
    <t>ORD2348</t>
  </si>
  <si>
    <t>CUST341</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</si>
  <si>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</si>
  <si>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</si>
  <si>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</si>
  <si>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</si>
  <si>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</si>
  <si>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</si>
  <si>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</si>
  <si>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</si>
  <si>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</si>
  <si>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</si>
  <si>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</si>
  <si>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</si>
  <si>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</si>
  <si>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</si>
  <si>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</si>
  <si>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</si>
  <si>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</si>
  <si>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CUST219</t>
  </si>
  <si>
    <t>ORD2366</t>
  </si>
  <si>
    <t>ORD2367</t>
  </si>
  <si>
    <t>ORD2368</t>
  </si>
  <si>
    <t>ORD2369</t>
  </si>
  <si>
    <t>ORD2370</t>
  </si>
  <si>
    <t>ORD2371</t>
  </si>
  <si>
    <t>ORD2372</t>
  </si>
  <si>
    <t>CUST411</t>
  </si>
  <si>
    <t>ORD2373</t>
  </si>
  <si>
    <t>CUST200</t>
  </si>
  <si>
    <t>ORD2374</t>
  </si>
  <si>
    <t>ORD2375</t>
  </si>
  <si>
    <t>CUST759</t>
  </si>
  <si>
    <t>ORD2376</t>
  </si>
  <si>
    <t>ORD2377</t>
  </si>
  <si>
    <t>ORD2378</t>
  </si>
  <si>
    <t>ORD2379</t>
  </si>
  <si>
    <t>ORD2380</t>
  </si>
  <si>
    <t>ORD2381</t>
  </si>
  <si>
    <t>ORD2382</t>
  </si>
  <si>
    <t>ORD2383</t>
  </si>
  <si>
    <t>CUST788</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</si>
  <si>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</si>
  <si>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</si>
  <si>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</si>
  <si>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</si>
  <si>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</si>
  <si>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</si>
  <si>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</si>
  <si>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</si>
  <si>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</si>
  <si>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</si>
  <si>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</si>
  <si>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</si>
  <si>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</si>
  <si>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</si>
  <si>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</si>
  <si>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</si>
  <si>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</si>
  <si>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</si>
  <si>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</si>
  <si>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CUST441</t>
  </si>
  <si>
    <t>ORD2403</t>
  </si>
  <si>
    <t>CUST499</t>
  </si>
  <si>
    <t>ORD2404</t>
  </si>
  <si>
    <t>CUST480</t>
  </si>
  <si>
    <t>ORD2405</t>
  </si>
  <si>
    <t>ORD2406</t>
  </si>
  <si>
    <t>ORD2407</t>
  </si>
  <si>
    <t>ORD2408</t>
  </si>
  <si>
    <t>ORD2409</t>
  </si>
  <si>
    <t>ORD2410</t>
  </si>
  <si>
    <t>CUST330</t>
  </si>
  <si>
    <t>ORD2411</t>
  </si>
  <si>
    <t>ORD2412</t>
  </si>
  <si>
    <t>ORD2413</t>
  </si>
  <si>
    <t>ORD2414</t>
  </si>
  <si>
    <t>ORD2415</t>
  </si>
  <si>
    <t>ORD2416</t>
  </si>
  <si>
    <t>ORD2417</t>
  </si>
  <si>
    <t>ORD2418</t>
  </si>
  <si>
    <t>ORD2419</t>
  </si>
  <si>
    <t>ORD2420</t>
  </si>
  <si>
    <t>ORD2421</t>
  </si>
  <si>
    <t>CUST817</t>
  </si>
  <si>
    <t>ORD2422</t>
  </si>
  <si>
    <t>ORD2423</t>
  </si>
  <si>
    <t>ORD2424</t>
  </si>
  <si>
    <t>ORD2425</t>
  </si>
  <si>
    <t>ORD2426</t>
  </si>
  <si>
    <t>ORD2427</t>
  </si>
  <si>
    <t>ORD2428</t>
  </si>
  <si>
    <t>CUST964</t>
  </si>
  <si>
    <t>ORD2429</t>
  </si>
  <si>
    <t>ORD2430</t>
  </si>
  <si>
    <t>ORD2431</t>
  </si>
  <si>
    <t>ORD2432</t>
  </si>
  <si>
    <t>CUST472</t>
  </si>
  <si>
    <t>ORD2433</t>
  </si>
  <si>
    <t>ORD2434</t>
  </si>
  <si>
    <t>CUST359</t>
  </si>
  <si>
    <t>ORD2435</t>
  </si>
  <si>
    <t>ORD2436</t>
  </si>
  <si>
    <t>CUST665</t>
  </si>
  <si>
    <t>ORD2437</t>
  </si>
  <si>
    <t>ORD2438</t>
  </si>
  <si>
    <t>ORD2439</t>
  </si>
  <si>
    <t>ORD2440</t>
  </si>
  <si>
    <t>ORD2441</t>
  </si>
  <si>
    <t>ORD2442</t>
  </si>
  <si>
    <t>ORD2443</t>
  </si>
  <si>
    <t>ORD2444</t>
  </si>
  <si>
    <t>ORD2445</t>
  </si>
  <si>
    <t>ORD2446</t>
  </si>
  <si>
    <t>ORD2447</t>
  </si>
  <si>
    <t>ORD2448</t>
  </si>
  <si>
    <t>CUST256</t>
  </si>
  <si>
    <t>ORD2449</t>
  </si>
  <si>
    <t>ORD2450</t>
  </si>
  <si>
    <t>ORD2451</t>
  </si>
  <si>
    <t>ORD2452</t>
  </si>
  <si>
    <t>CUST689</t>
  </si>
  <si>
    <t>ORD2453</t>
  </si>
  <si>
    <t>ORD2454</t>
  </si>
  <si>
    <t>CUST470</t>
  </si>
  <si>
    <t>ORD2455</t>
  </si>
  <si>
    <t>ORD2456</t>
  </si>
  <si>
    <t>ORD2457</t>
  </si>
  <si>
    <t>ORD2458</t>
  </si>
  <si>
    <t>ORD2459</t>
  </si>
  <si>
    <t>ORD2460</t>
  </si>
  <si>
    <t>ORD2461</t>
  </si>
  <si>
    <t>ORD2462</t>
  </si>
  <si>
    <t>CUST240</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</si>
  <si>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</si>
  <si>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</si>
  <si>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</si>
  <si>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</si>
  <si>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</si>
  <si>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</si>
  <si>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</si>
  <si>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</si>
  <si>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</si>
  <si>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</si>
  <si>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</si>
  <si>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</si>
  <si>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</si>
  <si>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</si>
  <si>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</si>
  <si>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</si>
  <si>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</si>
  <si>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</si>
  <si>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</si>
  <si>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</si>
  <si>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</si>
  <si>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</si>
  <si>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CUST493</t>
  </si>
  <si>
    <t>ORD2485</t>
  </si>
  <si>
    <t>ORD2486</t>
  </si>
  <si>
    <t>ORD2487</t>
  </si>
  <si>
    <t>ORD2488</t>
  </si>
  <si>
    <t>ORD2489</t>
  </si>
  <si>
    <t>CUST312</t>
  </si>
  <si>
    <t>ORD2490</t>
  </si>
  <si>
    <t>ORD2491</t>
  </si>
  <si>
    <t>ORD2492</t>
  </si>
  <si>
    <t>CUST424</t>
  </si>
  <si>
    <t>ORD2493</t>
  </si>
  <si>
    <t>CUST605</t>
  </si>
  <si>
    <t>ORD2494</t>
  </si>
  <si>
    <t>ORD2495</t>
  </si>
  <si>
    <t>ORD2496</t>
  </si>
  <si>
    <t>CUST150</t>
  </si>
  <si>
    <t>ORD2497</t>
  </si>
  <si>
    <t>CUST412</t>
  </si>
  <si>
    <t>ORD2498</t>
  </si>
  <si>
    <t>ORD2499</t>
  </si>
  <si>
    <t>Sum of Sales</t>
  </si>
  <si>
    <t>Row Labels</t>
  </si>
  <si>
    <t>Grand Total</t>
  </si>
  <si>
    <t>Jan</t>
  </si>
  <si>
    <t>Feb</t>
  </si>
  <si>
    <t>Mar</t>
  </si>
  <si>
    <t>Apr</t>
  </si>
  <si>
    <t>May</t>
  </si>
  <si>
    <t>Jun</t>
  </si>
  <si>
    <t>Jul</t>
  </si>
  <si>
    <t>Aug</t>
  </si>
  <si>
    <t>Sep</t>
  </si>
  <si>
    <t>Oct</t>
  </si>
  <si>
    <t>Nov</t>
  </si>
  <si>
    <t>Dec</t>
  </si>
  <si>
    <t>Sum of Profit</t>
  </si>
  <si>
    <t>TOTAL SALES</t>
  </si>
  <si>
    <t>TOTAL PROFIT</t>
  </si>
  <si>
    <t>TOTAL ORDERS</t>
  </si>
  <si>
    <t>TOP STATE</t>
  </si>
  <si>
    <t>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</si>
</sst>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F800]dddd\,\ mmmm\ dd\,\ yyyy"/>
  </numFmts>
  <fonts count="5" x14ac:knownFonts="1">
    <font>
      <sz val="11"/>
      <color theme="1"/>
      <name val="Calibri"/>
      <family val="2"/>
      <scheme val="minor"/>
    </font>
    <font>
      <sz val="11"/>
      <color theme="1"/>
      <name val="Calibri"/>
      <family val="2"/>
      <scheme val="minor"/>
    </font>
    <font>
      <b/>
      <sz val="14"/>
      <color theme="1"/>
      <name val="Calibri"/>
      <family val="2"/>
      <scheme val="minor"/>
    </font>
    <font>
      <b/>
      <sz val="12"/>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4"/>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65" fontId="0" fillId="0" borderId="0" xfId="0" applyNumberFormat="1" applyAlignment="1">
      <alignment horizontal="left"/>
    </xf>
    <xf numFmtId="44" fontId="0" fillId="0" borderId="0" xfId="1" applyFont="1" applyAlignment="1">
      <alignment horizontal="center"/>
    </xf>
    <xf numFmtId="9" fontId="0" fillId="0" borderId="0" xfId="2" applyFont="1" applyAlignment="1">
      <alignment horizontal="center"/>
    </xf>
    <xf numFmtId="0" fontId="0" fillId="0" borderId="0" xfId="0" applyAlignment="1">
      <alignment horizontal="center"/>
    </xf>
    <xf numFmtId="0" fontId="2" fillId="0" borderId="0" xfId="0" applyFont="1"/>
    <xf numFmtId="165" fontId="2" fillId="0" borderId="0" xfId="0" applyNumberFormat="1" applyFont="1" applyAlignment="1">
      <alignment horizontal="left"/>
    </xf>
    <xf numFmtId="0" fontId="2" fillId="0" borderId="0" xfId="1" applyNumberFormat="1" applyFont="1" applyAlignment="1">
      <alignment horizontal="center"/>
    </xf>
    <xf numFmtId="0" fontId="2" fillId="0" borderId="0" xfId="0" applyFont="1" applyAlignment="1">
      <alignment horizontal="center"/>
    </xf>
    <xf numFmtId="9" fontId="2" fillId="0" borderId="0" xfId="2" applyFont="1" applyAlignment="1">
      <alignment horizontal="center"/>
    </xf>
    <xf numFmtId="44"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horizontal="center"/>
    </xf>
    <xf numFmtId="44" fontId="3" fillId="0" borderId="0" xfId="1" applyFont="1" applyAlignment="1">
      <alignment horizontal="center"/>
    </xf>
    <xf numFmtId="0" fontId="3" fillId="0" borderId="0" xfId="0" applyFont="1" applyAlignment="1">
      <alignment horizontal="center"/>
    </xf>
    <xf numFmtId="0" fontId="4" fillId="3" borderId="0" xfId="0" applyFont="1" applyFill="1" applyAlignment="1">
      <alignment horizontal="center"/>
    </xf>
  </cellXfs>
  <cellStyles count="3">
    <cellStyle name="Currency" xfId="1" builtinId="4"/>
    <cellStyle name="Normal" xfId="0" builtinId="0"/>
    <cellStyle name="Percent" xfId="2" builtinId="5"/>
  </cellStyles>
  <dxfs count="8">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5" formatCode="[$-F800]dddd\,\ mmmm\ dd\,\ yyyy"/>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Profitability.xlsx]Pivot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2294256956779166"/>
          <c:y val="6.76315875453327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tables'!$H$2:$H$14</c:f>
              <c:strCache>
                <c:ptCount val="12"/>
                <c:pt idx="0">
                  <c:v>Nov</c:v>
                </c:pt>
                <c:pt idx="1">
                  <c:v>Apr</c:v>
                </c:pt>
                <c:pt idx="2">
                  <c:v>May</c:v>
                </c:pt>
                <c:pt idx="3">
                  <c:v>Aug</c:v>
                </c:pt>
                <c:pt idx="4">
                  <c:v>Jul</c:v>
                </c:pt>
                <c:pt idx="5">
                  <c:v>Jan</c:v>
                </c:pt>
                <c:pt idx="6">
                  <c:v>Dec</c:v>
                </c:pt>
                <c:pt idx="7">
                  <c:v>Feb</c:v>
                </c:pt>
                <c:pt idx="8">
                  <c:v>Sep</c:v>
                </c:pt>
                <c:pt idx="9">
                  <c:v>Jun</c:v>
                </c:pt>
                <c:pt idx="10">
                  <c:v>Mar</c:v>
                </c:pt>
                <c:pt idx="11">
                  <c:v>Oct</c:v>
                </c:pt>
              </c:strCache>
            </c:strRef>
          </c:cat>
          <c:val>
            <c:numRef>
              <c:f>'Pivot tables'!$I$2:$I$14</c:f>
              <c:numCache>
                <c:formatCode>_("₹"* #,##0.00_);_("₹"* \(#,##0.00\);_("₹"* "-"??_);_(@_)</c:formatCode>
                <c:ptCount val="12"/>
                <c:pt idx="0">
                  <c:v>3666272.2600000012</c:v>
                </c:pt>
                <c:pt idx="1">
                  <c:v>3381710.2700000005</c:v>
                </c:pt>
                <c:pt idx="2">
                  <c:v>3356244.1500000008</c:v>
                </c:pt>
                <c:pt idx="3">
                  <c:v>3325909.3400000003</c:v>
                </c:pt>
                <c:pt idx="4">
                  <c:v>3318581.8899999992</c:v>
                </c:pt>
                <c:pt idx="5">
                  <c:v>3300710.18</c:v>
                </c:pt>
                <c:pt idx="6">
                  <c:v>3177308.82</c:v>
                </c:pt>
                <c:pt idx="7">
                  <c:v>3119884.1099999985</c:v>
                </c:pt>
                <c:pt idx="8">
                  <c:v>3087795.9699999993</c:v>
                </c:pt>
                <c:pt idx="9">
                  <c:v>2937513.78</c:v>
                </c:pt>
                <c:pt idx="10">
                  <c:v>2860546.0999999996</c:v>
                </c:pt>
                <c:pt idx="11">
                  <c:v>2666119.1099999989</c:v>
                </c:pt>
              </c:numCache>
            </c:numRef>
          </c:val>
          <c:extLst>
            <c:ext xmlns:c16="http://schemas.microsoft.com/office/drawing/2014/chart" uri="{C3380CC4-5D6E-409C-BE32-E72D297353CC}">
              <c16:uniqueId val="{00000000-F03A-4038-A521-6979774DD230}"/>
            </c:ext>
          </c:extLst>
        </c:ser>
        <c:dLbls>
          <c:showLegendKey val="0"/>
          <c:showVal val="0"/>
          <c:showCatName val="0"/>
          <c:showSerName val="0"/>
          <c:showPercent val="0"/>
          <c:showBubbleSize val="0"/>
        </c:dLbls>
        <c:gapWidth val="100"/>
        <c:overlap val="-24"/>
        <c:axId val="550418287"/>
        <c:axId val="550401007"/>
      </c:barChart>
      <c:catAx>
        <c:axId val="550418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01007"/>
        <c:crosses val="autoZero"/>
        <c:auto val="1"/>
        <c:lblAlgn val="ctr"/>
        <c:lblOffset val="100"/>
        <c:noMultiLvlLbl val="0"/>
      </c:catAx>
      <c:valAx>
        <c:axId val="5504010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1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Profitability.xlsx]Pivot tables!PivotTable1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layout>
        <c:manualLayout>
          <c:xMode val="edge"/>
          <c:yMode val="edge"/>
          <c:x val="0.34505686789151357"/>
          <c:y val="6.55510715584591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tables'!$A$2:$A$6</c:f>
              <c:strCache>
                <c:ptCount val="4"/>
                <c:pt idx="0">
                  <c:v>South</c:v>
                </c:pt>
                <c:pt idx="1">
                  <c:v>West</c:v>
                </c:pt>
                <c:pt idx="2">
                  <c:v>East</c:v>
                </c:pt>
                <c:pt idx="3">
                  <c:v>North</c:v>
                </c:pt>
              </c:strCache>
            </c:strRef>
          </c:cat>
          <c:val>
            <c:numRef>
              <c:f>'Pivot tables'!$B$2:$B$6</c:f>
              <c:numCache>
                <c:formatCode>_("₹"* #,##0.00_);_("₹"* \(#,##0.00\);_("₹"* "-"??_);_(@_)</c:formatCode>
                <c:ptCount val="4"/>
                <c:pt idx="0">
                  <c:v>6534831.9400000023</c:v>
                </c:pt>
                <c:pt idx="1">
                  <c:v>7161678.9200000027</c:v>
                </c:pt>
                <c:pt idx="2">
                  <c:v>11577840.750000007</c:v>
                </c:pt>
                <c:pt idx="3">
                  <c:v>12924244.370000003</c:v>
                </c:pt>
              </c:numCache>
            </c:numRef>
          </c:val>
          <c:extLst>
            <c:ext xmlns:c16="http://schemas.microsoft.com/office/drawing/2014/chart" uri="{C3380CC4-5D6E-409C-BE32-E72D297353CC}">
              <c16:uniqueId val="{00000000-314E-45A9-ADEB-4D846EDDE8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Profitability.xlsx]Pivot tables!PivotTable7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Sales</a:t>
            </a:r>
            <a:r>
              <a:rPr lang="en-IN" sz="1400" baseline="0"/>
              <a:t> and Profit of Product Category</a:t>
            </a:r>
            <a:endParaRPr lang="en-IN" sz="1400"/>
          </a:p>
        </c:rich>
      </c:tx>
      <c:layout>
        <c:manualLayout>
          <c:xMode val="edge"/>
          <c:yMode val="edge"/>
          <c:x val="0.35094062316284541"/>
          <c:y val="4.52249305233904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93171500328628"/>
          <c:y val="0.1465164955646367"/>
          <c:w val="0.55089556591495714"/>
          <c:h val="0.61098458420545532"/>
        </c:manualLayout>
      </c:layout>
      <c:barChart>
        <c:barDir val="bar"/>
        <c:grouping val="clustered"/>
        <c:varyColors val="0"/>
        <c:ser>
          <c:idx val="0"/>
          <c:order val="0"/>
          <c:tx>
            <c:strRef>
              <c:f>'Pivot tables'!$E$1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tables'!$D$2:$D$5</c:f>
              <c:strCache>
                <c:ptCount val="3"/>
                <c:pt idx="0">
                  <c:v>Clothing</c:v>
                </c:pt>
                <c:pt idx="1">
                  <c:v>Electronics</c:v>
                </c:pt>
                <c:pt idx="2">
                  <c:v>Furniture</c:v>
                </c:pt>
              </c:strCache>
            </c:strRef>
          </c:cat>
          <c:val>
            <c:numRef>
              <c:f>'Pivot tables'!$E$2:$E$5</c:f>
              <c:numCache>
                <c:formatCode>_("₹"* #,##0.00_);_("₹"* \(#,##0.00\);_("₹"* "-"??_);_(@_)</c:formatCode>
                <c:ptCount val="3"/>
                <c:pt idx="0">
                  <c:v>12998229.410000006</c:v>
                </c:pt>
                <c:pt idx="1">
                  <c:v>12455446.430000009</c:v>
                </c:pt>
                <c:pt idx="2">
                  <c:v>12744920.139999999</c:v>
                </c:pt>
              </c:numCache>
            </c:numRef>
          </c:val>
          <c:extLst>
            <c:ext xmlns:c16="http://schemas.microsoft.com/office/drawing/2014/chart" uri="{C3380CC4-5D6E-409C-BE32-E72D297353CC}">
              <c16:uniqueId val="{00000000-1557-4471-B764-6D4C5ED35057}"/>
            </c:ext>
          </c:extLst>
        </c:ser>
        <c:ser>
          <c:idx val="1"/>
          <c:order val="1"/>
          <c:tx>
            <c:strRef>
              <c:f>'Pivot tables'!$F$1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linear"/>
            <c:dispRSqr val="0"/>
            <c:dispEq val="0"/>
          </c:trendline>
          <c:cat>
            <c:strRef>
              <c:f>'Pivot tables'!$D$2:$D$5</c:f>
              <c:strCache>
                <c:ptCount val="3"/>
                <c:pt idx="0">
                  <c:v>Clothing</c:v>
                </c:pt>
                <c:pt idx="1">
                  <c:v>Electronics</c:v>
                </c:pt>
                <c:pt idx="2">
                  <c:v>Furniture</c:v>
                </c:pt>
              </c:strCache>
            </c:strRef>
          </c:cat>
          <c:val>
            <c:numRef>
              <c:f>'Pivot tables'!$F$2:$F$5</c:f>
              <c:numCache>
                <c:formatCode>_("₹"* #,##0.00_);_("₹"* \(#,##0.00\);_("₹"* "-"??_);_(@_)</c:formatCode>
                <c:ptCount val="3"/>
                <c:pt idx="0">
                  <c:v>327306.53000000003</c:v>
                </c:pt>
                <c:pt idx="1">
                  <c:v>307795.64000000025</c:v>
                </c:pt>
                <c:pt idx="2">
                  <c:v>289624.78999999986</c:v>
                </c:pt>
              </c:numCache>
            </c:numRef>
          </c:val>
          <c:extLst>
            <c:ext xmlns:c16="http://schemas.microsoft.com/office/drawing/2014/chart" uri="{C3380CC4-5D6E-409C-BE32-E72D297353CC}">
              <c16:uniqueId val="{00000001-1557-4471-B764-6D4C5ED35057}"/>
            </c:ext>
          </c:extLst>
        </c:ser>
        <c:dLbls>
          <c:dLblPos val="outEnd"/>
          <c:showLegendKey val="0"/>
          <c:showVal val="1"/>
          <c:showCatName val="0"/>
          <c:showSerName val="0"/>
          <c:showPercent val="0"/>
          <c:showBubbleSize val="0"/>
        </c:dLbls>
        <c:gapWidth val="115"/>
        <c:overlap val="-20"/>
        <c:axId val="914347487"/>
        <c:axId val="914368127"/>
      </c:barChart>
      <c:catAx>
        <c:axId val="914347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68127"/>
        <c:crosses val="autoZero"/>
        <c:auto val="1"/>
        <c:lblAlgn val="ctr"/>
        <c:lblOffset val="100"/>
        <c:noMultiLvlLbl val="0"/>
      </c:catAx>
      <c:valAx>
        <c:axId val="91436812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4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Profitability.xlsx]Pivot tables!PivotTable8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Product</a:t>
            </a:r>
          </a:p>
        </c:rich>
      </c:tx>
      <c:layout>
        <c:manualLayout>
          <c:xMode val="edge"/>
          <c:yMode val="edge"/>
          <c:x val="0.38881944947420338"/>
          <c:y val="6.91286828583046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56207051788437"/>
          <c:y val="0.23908864889595222"/>
          <c:w val="0.31807163810406053"/>
          <c:h val="0.6662306016359606"/>
        </c:manualLayout>
      </c:layout>
      <c:barChart>
        <c:barDir val="bar"/>
        <c:grouping val="clustered"/>
        <c:varyColors val="0"/>
        <c:ser>
          <c:idx val="0"/>
          <c:order val="0"/>
          <c:tx>
            <c:strRef>
              <c:f>'Pivot tables'!$E$8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'Pivot tables'!$D$9:$D$16</c:f>
              <c:strCache>
                <c:ptCount val="7"/>
                <c:pt idx="0">
                  <c:v>Jeans</c:v>
                </c:pt>
                <c:pt idx="1">
                  <c:v>Headphones</c:v>
                </c:pt>
                <c:pt idx="2">
                  <c:v>Laptop</c:v>
                </c:pt>
                <c:pt idx="3">
                  <c:v>Table</c:v>
                </c:pt>
                <c:pt idx="4">
                  <c:v>Chair</c:v>
                </c:pt>
                <c:pt idx="5">
                  <c:v>T-shirt</c:v>
                </c:pt>
                <c:pt idx="6">
                  <c:v>Mobile</c:v>
                </c:pt>
              </c:strCache>
            </c:strRef>
          </c:cat>
          <c:val>
            <c:numRef>
              <c:f>'Pivot tables'!$E$9:$E$16</c:f>
              <c:numCache>
                <c:formatCode>_("₹"* #,##0.00_);_("₹"* \(#,##0.00\);_("₹"* "-"??_);_(@_)</c:formatCode>
                <c:ptCount val="7"/>
                <c:pt idx="0">
                  <c:v>5837287.5700000031</c:v>
                </c:pt>
                <c:pt idx="1">
                  <c:v>5753603.71</c:v>
                </c:pt>
                <c:pt idx="2">
                  <c:v>5523597.6100000022</c:v>
                </c:pt>
                <c:pt idx="3">
                  <c:v>5468443.5000000009</c:v>
                </c:pt>
                <c:pt idx="4">
                  <c:v>5366983.200000003</c:v>
                </c:pt>
                <c:pt idx="5">
                  <c:v>5182254.68</c:v>
                </c:pt>
                <c:pt idx="6">
                  <c:v>5066425.709999999</c:v>
                </c:pt>
              </c:numCache>
            </c:numRef>
          </c:val>
          <c:extLst>
            <c:ext xmlns:c16="http://schemas.microsoft.com/office/drawing/2014/chart" uri="{C3380CC4-5D6E-409C-BE32-E72D297353CC}">
              <c16:uniqueId val="{00000000-A219-4003-9D6F-4101B59A01A0}"/>
            </c:ext>
          </c:extLst>
        </c:ser>
        <c:dLbls>
          <c:showLegendKey val="0"/>
          <c:showVal val="0"/>
          <c:showCatName val="0"/>
          <c:showSerName val="0"/>
          <c:showPercent val="0"/>
          <c:showBubbleSize val="0"/>
        </c:dLbls>
        <c:gapWidth val="100"/>
        <c:axId val="914316287"/>
        <c:axId val="914325407"/>
      </c:barChart>
      <c:catAx>
        <c:axId val="91431628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25407"/>
        <c:crosses val="autoZero"/>
        <c:auto val="1"/>
        <c:lblAlgn val="ctr"/>
        <c:lblOffset val="100"/>
        <c:noMultiLvlLbl val="0"/>
      </c:catAx>
      <c:valAx>
        <c:axId val="91432540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city</a:t>
            </a:r>
            <a:endParaRPr lang="en-US"/>
          </a:p>
        </c:rich>
      </c:tx>
      <c:layout>
        <c:manualLayout>
          <c:xMode val="edge"/>
          <c:yMode val="edge"/>
          <c:x val="0.38656805279531753"/>
          <c:y val="7.421328431507037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Lit>
              <c:ptCount val="6"/>
              <c:pt idx="0">
                <c:v>Mumbai</c:v>
              </c:pt>
              <c:pt idx="1">
                <c:v>Hyderabad</c:v>
              </c:pt>
              <c:pt idx="2">
                <c:v>Bangalore</c:v>
              </c:pt>
              <c:pt idx="3">
                <c:v>Delhi</c:v>
              </c:pt>
              <c:pt idx="4">
                <c:v>Chennai</c:v>
              </c:pt>
              <c:pt idx="5">
                <c:v>Kolkata</c:v>
              </c:pt>
            </c:strLit>
          </c:cat>
          <c:val>
            <c:numLit>
              <c:formatCode>General</c:formatCode>
              <c:ptCount val="6"/>
              <c:pt idx="0">
                <c:v>7161678.9200000027</c:v>
              </c:pt>
              <c:pt idx="1">
                <c:v>6600280.8400000017</c:v>
              </c:pt>
              <c:pt idx="2">
                <c:v>6534831.9400000023</c:v>
              </c:pt>
              <c:pt idx="3">
                <c:v>6323963.5300000021</c:v>
              </c:pt>
              <c:pt idx="4">
                <c:v>5908540.7499999991</c:v>
              </c:pt>
              <c:pt idx="5">
                <c:v>5669299.9999999991</c:v>
              </c:pt>
            </c:numLit>
          </c:val>
          <c:extLst>
            <c:ext xmlns:c16="http://schemas.microsoft.com/office/drawing/2014/chart" uri="{C3380CC4-5D6E-409C-BE32-E72D297353CC}">
              <c16:uniqueId val="{00000000-4D82-432F-9528-05A301A6EFB1}"/>
            </c:ext>
          </c:extLst>
        </c:ser>
        <c:dLbls>
          <c:showLegendKey val="0"/>
          <c:showVal val="0"/>
          <c:showCatName val="0"/>
          <c:showSerName val="0"/>
          <c:showPercent val="0"/>
          <c:showBubbleSize val="0"/>
        </c:dLbls>
        <c:axId val="1162751887"/>
        <c:axId val="1162753807"/>
      </c:areaChart>
      <c:catAx>
        <c:axId val="116275188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3807"/>
        <c:crosses val="autoZero"/>
        <c:auto val="1"/>
        <c:lblAlgn val="ctr"/>
        <c:lblOffset val="100"/>
        <c:noMultiLvlLbl val="0"/>
      </c:catAx>
      <c:valAx>
        <c:axId val="116275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887"/>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7620</xdr:rowOff>
    </xdr:from>
    <xdr:to>
      <xdr:col>11</xdr:col>
      <xdr:colOff>7620</xdr:colOff>
      <xdr:row>15</xdr:row>
      <xdr:rowOff>15240</xdr:rowOff>
    </xdr:to>
    <xdr:graphicFrame macro="">
      <xdr:nvGraphicFramePr>
        <xdr:cNvPr id="2" name="Chart 1">
          <a:extLst>
            <a:ext uri="{FF2B5EF4-FFF2-40B4-BE49-F238E27FC236}">
              <a16:creationId xmlns:a16="http://schemas.microsoft.com/office/drawing/2014/main" id="{110CE750-1527-4686-ABE0-353C9A956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16</xdr:row>
      <xdr:rowOff>7620</xdr:rowOff>
    </xdr:from>
    <xdr:to>
      <xdr:col>9</xdr:col>
      <xdr:colOff>381000</xdr:colOff>
      <xdr:row>27</xdr:row>
      <xdr:rowOff>121920</xdr:rowOff>
    </xdr:to>
    <xdr:graphicFrame macro="">
      <xdr:nvGraphicFramePr>
        <xdr:cNvPr id="3" name="Chart 2">
          <a:extLst>
            <a:ext uri="{FF2B5EF4-FFF2-40B4-BE49-F238E27FC236}">
              <a16:creationId xmlns:a16="http://schemas.microsoft.com/office/drawing/2014/main" id="{F0E56B31-2EEC-4C4A-8A6F-FC20936CA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304800</xdr:colOff>
      <xdr:row>17</xdr:row>
      <xdr:rowOff>7620</xdr:rowOff>
    </xdr:from>
    <xdr:to>
      <xdr:col>22</xdr:col>
      <xdr:colOff>342900</xdr:colOff>
      <xdr:row>27</xdr:row>
      <xdr:rowOff>60960</xdr:rowOff>
    </xdr:to>
    <xdr:graphicFrame macro="">
      <xdr:nvGraphicFramePr>
        <xdr:cNvPr id="6" name="Chart 5">
          <a:extLst>
            <a:ext uri="{FF2B5EF4-FFF2-40B4-BE49-F238E27FC236}">
              <a16:creationId xmlns:a16="http://schemas.microsoft.com/office/drawing/2014/main" id="{DEABDCD3-7A43-46CF-AAB3-E9B5F94ED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xdr:colOff>
      <xdr:row>5</xdr:row>
      <xdr:rowOff>175260</xdr:rowOff>
    </xdr:from>
    <xdr:to>
      <xdr:col>14</xdr:col>
      <xdr:colOff>579120</xdr:colOff>
      <xdr:row>24</xdr:row>
      <xdr:rowOff>160020</xdr:rowOff>
    </xdr:to>
    <xdr:graphicFrame macro="">
      <xdr:nvGraphicFramePr>
        <xdr:cNvPr id="8" name="Chart 7">
          <a:extLst>
            <a:ext uri="{FF2B5EF4-FFF2-40B4-BE49-F238E27FC236}">
              <a16:creationId xmlns:a16="http://schemas.microsoft.com/office/drawing/2014/main" id="{79B0E3DA-402E-4ADB-BB90-0D9FA2375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3</xdr:row>
      <xdr:rowOff>30481</xdr:rowOff>
    </xdr:from>
    <xdr:to>
      <xdr:col>2</xdr:col>
      <xdr:colOff>480060</xdr:colOff>
      <xdr:row>10</xdr:row>
      <xdr:rowOff>167641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972D28D-B033-FDD3-15BB-EFA5A0A26B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0" y="7239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12</xdr:row>
      <xdr:rowOff>1</xdr:rowOff>
    </xdr:from>
    <xdr:to>
      <xdr:col>2</xdr:col>
      <xdr:colOff>495300</xdr:colOff>
      <xdr:row>18</xdr:row>
      <xdr:rowOff>68581</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647F9994-4435-18DF-C52D-2154611BE3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060" y="23393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19</xdr:row>
      <xdr:rowOff>114301</xdr:rowOff>
    </xdr:from>
    <xdr:to>
      <xdr:col>2</xdr:col>
      <xdr:colOff>502920</xdr:colOff>
      <xdr:row>26</xdr:row>
      <xdr:rowOff>22861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8709AA75-234B-20A4-85F9-6AB545B0D5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680" y="373380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xdr:row>
      <xdr:rowOff>182880</xdr:rowOff>
    </xdr:from>
    <xdr:to>
      <xdr:col>13</xdr:col>
      <xdr:colOff>381000</xdr:colOff>
      <xdr:row>3</xdr:row>
      <xdr:rowOff>106680</xdr:rowOff>
    </xdr:to>
    <xdr:pic>
      <xdr:nvPicPr>
        <xdr:cNvPr id="13" name="Graphic 12" descr="Box">
          <a:extLst>
            <a:ext uri="{FF2B5EF4-FFF2-40B4-BE49-F238E27FC236}">
              <a16:creationId xmlns:a16="http://schemas.microsoft.com/office/drawing/2014/main" id="{9BFF232C-A939-FDBF-8B7E-ACDAA7D72BA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9120" y="365760"/>
          <a:ext cx="320040" cy="320040"/>
        </a:xfrm>
        <a:prstGeom prst="rect">
          <a:avLst/>
        </a:prstGeom>
      </xdr:spPr>
    </xdr:pic>
    <xdr:clientData/>
  </xdr:twoCellAnchor>
  <xdr:twoCellAnchor editAs="oneCell">
    <xdr:from>
      <xdr:col>17</xdr:col>
      <xdr:colOff>591960</xdr:colOff>
      <xdr:row>1</xdr:row>
      <xdr:rowOff>119520</xdr:rowOff>
    </xdr:from>
    <xdr:to>
      <xdr:col>18</xdr:col>
      <xdr:colOff>289560</xdr:colOff>
      <xdr:row>3</xdr:row>
      <xdr:rowOff>30480</xdr:rowOff>
    </xdr:to>
    <xdr:pic>
      <xdr:nvPicPr>
        <xdr:cNvPr id="15" name="Graphic 14" descr="City">
          <a:extLst>
            <a:ext uri="{FF2B5EF4-FFF2-40B4-BE49-F238E27FC236}">
              <a16:creationId xmlns:a16="http://schemas.microsoft.com/office/drawing/2014/main" id="{4609768E-CF80-6AE7-B96F-052EA2D84C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68520" y="302400"/>
          <a:ext cx="307200" cy="307200"/>
        </a:xfrm>
        <a:prstGeom prst="rect">
          <a:avLst/>
        </a:prstGeom>
      </xdr:spPr>
    </xdr:pic>
    <xdr:clientData/>
  </xdr:twoCellAnchor>
  <xdr:twoCellAnchor>
    <xdr:from>
      <xdr:col>15</xdr:col>
      <xdr:colOff>91440</xdr:colOff>
      <xdr:row>4</xdr:row>
      <xdr:rowOff>15240</xdr:rowOff>
    </xdr:from>
    <xdr:to>
      <xdr:col>22</xdr:col>
      <xdr:colOff>502920</xdr:colOff>
      <xdr:row>15</xdr:row>
      <xdr:rowOff>167640</xdr:rowOff>
    </xdr:to>
    <xdr:graphicFrame macro="">
      <xdr:nvGraphicFramePr>
        <xdr:cNvPr id="16" name="Chart 15">
          <a:extLst>
            <a:ext uri="{FF2B5EF4-FFF2-40B4-BE49-F238E27FC236}">
              <a16:creationId xmlns:a16="http://schemas.microsoft.com/office/drawing/2014/main" id="{7C019E28-E6B2-4023-97BC-5AB7024E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SHARMA" refreshedDate="46104.505545601853" createdVersion="8" refreshedVersion="8" minRefreshableVersion="3" recordCount="1500" xr:uid="{5B3D87A5-1C5C-40DF-A9FE-20449E56A0D5}">
  <cacheSource type="worksheet">
    <worksheetSource name="table1"/>
  </cacheSource>
  <cacheFields count="17">
    <cacheField name="Order ID" numFmtId="0">
      <sharedItems/>
    </cacheField>
    <cacheField name="Order Date" numFmtId="165">
      <sharedItems containsSemiMixedTypes="0" containsNonDate="0" containsDate="1" containsString="0" minDate="2023-01-01T00:00:00" maxDate="2024-08-24T00:00:00" count="572">
        <d v="2023-01-01T00:00:00"/>
        <d v="2023-01-02T00:00:00"/>
        <d v="2023-01-03T00:00:00"/>
        <d v="2023-01-04T00:00:00"/>
        <d v="2023-01-05T00:00:00"/>
        <d v="2023-01-06T00:00:00"/>
        <d v="2023-01-07T00:00:00"/>
        <d v="2023-01-09T00:00:00"/>
        <d v="2023-01-10T00:00:00"/>
        <d v="2023-01-11T00:00:00"/>
        <d v="2023-01-12T00:00:00"/>
        <d v="2023-01-13T00:00:00"/>
        <d v="2023-01-14T00:00:00"/>
        <d v="2023-01-15T00:00:00"/>
        <d v="2023-01-16T00:00:00"/>
        <d v="2023-01-17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3T00:00:00"/>
        <d v="2023-02-04T00:00:00"/>
        <d v="2023-02-05T00:00:00"/>
        <d v="2023-02-06T00:00:00"/>
        <d v="2023-02-07T00:00:00"/>
        <d v="2023-02-08T00:00:00"/>
        <d v="2023-02-09T00:00:00"/>
        <d v="2023-02-10T00:00:00"/>
        <d v="2023-02-11T00:00:00"/>
        <d v="2023-02-14T00:00:00"/>
        <d v="2023-02-15T00:00:00"/>
        <d v="2023-02-17T00:00:00"/>
        <d v="2023-02-18T00:00:00"/>
        <d v="2023-02-19T00:00:00"/>
        <d v="2023-02-20T00:00:00"/>
        <d v="2023-02-21T00:00:00"/>
        <d v="2023-02-22T00:00:00"/>
        <d v="2023-02-23T00:00:00"/>
        <d v="2023-02-24T00:00:00"/>
        <d v="2023-02-25T00:00:00"/>
        <d v="2023-02-26T00:00:00"/>
        <d v="2023-02-27T00:00:00"/>
        <d v="2023-02-28T00:00:00"/>
        <d v="2023-03-01T00:00:00"/>
        <d v="2023-03-05T00:00:00"/>
        <d v="2023-03-06T00:00:00"/>
        <d v="2023-03-07T00:00:00"/>
        <d v="2023-03-08T00:00:00"/>
        <d v="2023-03-10T00:00:00"/>
        <d v="2023-03-11T00:00:00"/>
        <d v="2023-03-12T00:00:00"/>
        <d v="2023-03-14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4T00:00:00"/>
        <d v="2023-04-05T00:00:00"/>
        <d v="2023-04-06T00:00:00"/>
        <d v="2023-04-07T00:00:00"/>
        <d v="2023-04-08T00:00:00"/>
        <d v="2023-04-09T00:00:00"/>
        <d v="2023-04-10T00:00:00"/>
        <d v="2023-04-12T00:00:00"/>
        <d v="2023-04-13T00:00:00"/>
        <d v="2023-04-14T00:00:00"/>
        <d v="2023-04-15T00:00:00"/>
        <d v="2023-04-16T00:00:00"/>
        <d v="2023-04-17T00:00:00"/>
        <d v="2023-04-19T00:00:00"/>
        <d v="2023-04-20T00:00:00"/>
        <d v="2023-04-21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7-02T00:00:00"/>
        <d v="2023-07-03T00:00:00"/>
        <d v="2023-07-04T00:00:00"/>
        <d v="2023-07-05T00:00:00"/>
        <d v="2023-07-06T00:00:00"/>
        <d v="2023-07-07T00:00:00"/>
        <d v="2023-07-08T00:00:00"/>
        <d v="2023-07-10T00:00:00"/>
        <d v="2023-07-12T00:00:00"/>
        <d v="2023-07-13T00:00:00"/>
        <d v="2023-07-14T00:00:00"/>
        <d v="2023-07-15T00:00:00"/>
        <d v="2023-07-16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2T00:00:00"/>
        <d v="2023-08-14T00:00:00"/>
        <d v="2023-08-15T00:00:00"/>
        <d v="2023-08-16T00:00:00"/>
        <d v="2023-08-18T00:00:00"/>
        <d v="2023-08-20T00:00:00"/>
        <d v="2023-08-21T00:00:00"/>
        <d v="2023-08-22T00:00:00"/>
        <d v="2023-08-23T00:00:00"/>
        <d v="2023-08-24T00:00:00"/>
        <d v="2023-08-26T00:00:00"/>
        <d v="2023-08-27T00:00:00"/>
        <d v="2023-08-28T00:00:00"/>
        <d v="2023-08-29T00:00:00"/>
        <d v="2023-08-30T00:00:00"/>
        <d v="2023-08-31T00:00:00"/>
        <d v="2023-09-01T00:00:00"/>
        <d v="2023-09-03T00:00:00"/>
        <d v="2023-09-04T00:00:00"/>
        <d v="2023-09-05T00:00:00"/>
        <d v="2023-09-06T00:00:00"/>
        <d v="2023-09-09T00:00:00"/>
        <d v="2023-09-10T00:00:00"/>
        <d v="2023-09-11T00:00:00"/>
        <d v="2023-09-12T00:00:00"/>
        <d v="2023-09-13T00:00:00"/>
        <d v="2023-09-14T00:00:00"/>
        <d v="2023-09-15T00:00:00"/>
        <d v="2023-09-17T00:00:00"/>
        <d v="2023-09-18T00:00:00"/>
        <d v="2023-09-19T00:00:00"/>
        <d v="2023-09-20T00:00:00"/>
        <d v="2023-09-21T00:00:00"/>
        <d v="2023-09-22T00:00:00"/>
        <d v="2023-09-24T00:00:00"/>
        <d v="2023-09-25T00:00:00"/>
        <d v="2023-09-26T00:00:00"/>
        <d v="2023-09-27T00:00:00"/>
        <d v="2023-09-28T00:00:00"/>
        <d v="2023-09-29T00:00:00"/>
        <d v="2023-10-01T00:00:00"/>
        <d v="2023-10-02T00:00:00"/>
        <d v="2023-10-03T00:00:00"/>
        <d v="2023-10-04T00:00:00"/>
        <d v="2023-10-05T00:00:00"/>
        <d v="2023-10-06T00:00:00"/>
        <d v="2023-10-07T00:00:00"/>
        <d v="2023-10-09T00:00:00"/>
        <d v="2023-10-10T00:00:00"/>
        <d v="2023-10-11T00:00:00"/>
        <d v="2023-10-12T00:00:00"/>
        <d v="2023-10-13T00:00:00"/>
        <d v="2023-10-14T00:00:00"/>
        <d v="2023-10-15T00:00:00"/>
        <d v="2023-10-16T00:00:00"/>
        <d v="2023-10-17T00:00:00"/>
        <d v="2023-10-18T00:00:00"/>
        <d v="2023-10-19T00:00:00"/>
        <d v="2023-10-20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10T00:00:00"/>
        <d v="2023-11-11T00:00:00"/>
        <d v="2023-11-12T00:00:00"/>
        <d v="2023-11-13T00:00:00"/>
        <d v="2023-11-14T00:00:00"/>
        <d v="2023-11-15T00:00:00"/>
        <d v="2023-11-16T00:00:00"/>
        <d v="2023-11-17T00:00:00"/>
        <d v="2023-11-18T00:00:00"/>
        <d v="2023-11-19T00:00:00"/>
        <d v="2023-11-20T00:00:00"/>
        <d v="2023-11-21T00:00:00"/>
        <d v="2023-11-22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4T00:00:00"/>
        <d v="2023-12-15T00:00:00"/>
        <d v="2023-12-17T00:00:00"/>
        <d v="2023-12-19T00:00:00"/>
        <d v="2023-12-20T00:00:00"/>
        <d v="2023-12-21T00:00:00"/>
        <d v="2023-12-22T00:00:00"/>
        <d v="2023-12-23T00:00:00"/>
        <d v="2023-12-24T00:00:00"/>
        <d v="2023-12-25T00:00:00"/>
        <d v="2023-12-26T00:00:00"/>
        <d v="2023-12-27T00:00:00"/>
        <d v="2023-12-28T00:00:00"/>
        <d v="2023-12-29T00:00:00"/>
        <d v="2023-12-30T00:00:00"/>
        <d v="2023-12-31T00:00:00"/>
        <d v="2023-12-13T00:00:00"/>
        <d v="2023-02-16T00:00:00"/>
        <d v="2023-04-03T00:00:00"/>
        <d v="2023-05-09T00:00:00"/>
        <d v="2023-09-07T00:00:00"/>
        <d v="2023-09-16T00:00:00"/>
        <d v="2023-06-30T00:00:00"/>
        <d v="2023-03-02T00:00:00"/>
        <d v="2023-07-09T00:00:00"/>
        <d v="2023-12-16T00:00:00"/>
        <d v="2023-03-13T00:00:00"/>
        <d v="2023-09-23T00:00:00"/>
        <d v="2023-09-08T00:00:00"/>
        <d v="2023-03-09T00:00:00"/>
        <d v="2023-11-09T00:00:00"/>
        <d v="2023-04-18T00:00:00"/>
        <d v="2023-01-08T00:00:00"/>
        <d v="2023-09-02T00:00:00"/>
        <d v="2023-08-13T00:00:00"/>
        <d v="2023-08-19T00:00:00"/>
        <d v="2023-10-08T00:00:00"/>
        <d v="2023-04-11T00:00:00"/>
        <d v="2023-03-15T00:00:00"/>
        <d v="2023-10-21T00:00:00"/>
        <d v="2023-07-17T00:00:00"/>
        <d v="2023-03-03T00:00:00"/>
        <d v="2023-07-01T00:00:00"/>
        <d v="2023-05-10T00:00:00"/>
        <d v="2023-08-25T00:00:00"/>
        <d v="2023-04-22T00:00:00"/>
        <d v="2023-02-13T00:00:00"/>
        <d v="2023-02-12T00:00:00"/>
        <d v="2023-08-11T00:00:00"/>
        <d v="2024-01-01T00:00:00" u="1"/>
        <d v="2024-01-02T00:00:00" u="1"/>
        <d v="2024-01-03T00:00:00" u="1"/>
        <d v="2024-01-04T00:00:00" u="1"/>
        <d v="2024-01-05T00:00:00" u="1"/>
        <d v="2024-01-06T00:00:00" u="1"/>
        <d v="2024-01-07T00:00:00" u="1"/>
        <d v="2024-01-08T00:00:00" u="1"/>
        <d v="2024-01-09T00:00:00" u="1"/>
        <d v="2024-01-10T00:00:00" u="1"/>
        <d v="2024-01-11T00:00:00" u="1"/>
        <d v="2024-01-12T00:00:00" u="1"/>
        <d v="2024-01-13T00:00:00" u="1"/>
        <d v="2024-01-14T00:00:00" u="1"/>
        <d v="2024-01-15T00:00:00" u="1"/>
        <d v="2024-01-16T00:00:00" u="1"/>
        <d v="2024-01-17T00:00:00" u="1"/>
        <d v="2024-01-18T00:00:00" u="1"/>
        <d v="2024-01-19T00:00:00" u="1"/>
        <d v="2024-01-20T00:00:00" u="1"/>
        <d v="2024-01-21T00:00:00" u="1"/>
        <d v="2024-01-22T00:00:00" u="1"/>
        <d v="2024-01-23T00:00:00" u="1"/>
        <d v="2024-01-24T00:00:00" u="1"/>
        <d v="2024-01-25T00:00:00" u="1"/>
        <d v="2024-01-28T00:00:00" u="1"/>
        <d v="2024-01-29T00:00:00" u="1"/>
        <d v="2024-01-30T00:00:00" u="1"/>
        <d v="2024-01-31T00:00:00" u="1"/>
        <d v="2024-02-01T00:00:00" u="1"/>
        <d v="2024-02-02T00:00:00" u="1"/>
        <d v="2024-02-04T00:00:00" u="1"/>
        <d v="2024-02-05T00:00:00" u="1"/>
        <d v="2024-02-06T00:00:00" u="1"/>
        <d v="2024-02-07T00:00:00" u="1"/>
        <d v="2024-02-08T00:00:00" u="1"/>
        <d v="2024-02-09T00:00:00" u="1"/>
        <d v="2024-02-10T00:00:00" u="1"/>
        <d v="2024-02-11T00:00:00" u="1"/>
        <d v="2024-02-15T00:00:00" u="1"/>
        <d v="2024-02-16T00:00:00" u="1"/>
        <d v="2024-02-17T00:00:00" u="1"/>
        <d v="2024-02-18T00:00:00" u="1"/>
        <d v="2024-02-19T00:00:00" u="1"/>
        <d v="2024-02-20T00:00:00" u="1"/>
        <d v="2024-02-21T00:00:00" u="1"/>
        <d v="2024-02-22T00:00:00" u="1"/>
        <d v="2024-02-23T00:00:00" u="1"/>
        <d v="2024-02-24T00:00:00" u="1"/>
        <d v="2024-02-25T00:00:00" u="1"/>
        <d v="2024-02-28T00:00:00" u="1"/>
        <d v="2024-02-29T00:00:00" u="1"/>
        <d v="2024-03-01T00:00:00" u="1"/>
        <d v="2024-03-02T00:00:00" u="1"/>
        <d v="2024-03-03T00:00:00" u="1"/>
        <d v="2024-03-04T00:00:00" u="1"/>
        <d v="2024-03-05T00:00:00" u="1"/>
        <d v="2024-03-06T00:00:00" u="1"/>
        <d v="2024-03-07T00:00:00" u="1"/>
        <d v="2024-03-08T00:00:00" u="1"/>
        <d v="2024-03-09T00:00:00" u="1"/>
        <d v="2024-03-10T00:00:00" u="1"/>
        <d v="2024-03-12T00:00:00" u="1"/>
        <d v="2024-03-13T00:00:00" u="1"/>
        <d v="2024-03-14T00:00:00" u="1"/>
        <d v="2024-03-15T00:00:00" u="1"/>
        <d v="2024-03-16T00:00:00" u="1"/>
        <d v="2024-03-17T00:00:00" u="1"/>
        <d v="2024-03-18T00:00:00" u="1"/>
        <d v="2024-03-19T00:00:00" u="1"/>
        <d v="2024-03-20T00:00:00" u="1"/>
        <d v="2024-03-21T00:00:00" u="1"/>
        <d v="2024-03-22T00:00:00" u="1"/>
        <d v="2024-03-23T00:00:00" u="1"/>
        <d v="2024-03-25T00:00:00" u="1"/>
        <d v="2024-03-26T00:00:00" u="1"/>
        <d v="2024-03-27T00:00:00" u="1"/>
        <d v="2024-03-28T00:00:00" u="1"/>
        <d v="2024-03-29T00:00:00" u="1"/>
        <d v="2024-03-30T00:00:00" u="1"/>
        <d v="2024-03-31T00:00:00" u="1"/>
        <d v="2024-04-01T00:00:00" u="1"/>
        <d v="2024-04-03T00:00:00" u="1"/>
        <d v="2024-04-04T00:00:00" u="1"/>
        <d v="2024-04-05T00:00:00" u="1"/>
        <d v="2024-04-06T00:00:00" u="1"/>
        <d v="2024-04-07T00:00:00" u="1"/>
        <d v="2024-04-08T00:00:00" u="1"/>
        <d v="2024-04-09T00:00:00" u="1"/>
        <d v="2024-04-10T00:00:00" u="1"/>
        <d v="2024-04-12T00:00:00" u="1"/>
        <d v="2024-04-13T00:00:00" u="1"/>
        <d v="2024-04-14T00:00:00" u="1"/>
        <d v="2024-04-15T00:00:00" u="1"/>
        <d v="2024-04-16T00:00:00" u="1"/>
        <d v="2024-04-17T00:00:00" u="1"/>
        <d v="2024-04-18T00:00:00" u="1"/>
        <d v="2024-04-20T00:00:00" u="1"/>
        <d v="2024-04-21T00:00:00" u="1"/>
        <d v="2024-04-22T00:00:00" u="1"/>
        <d v="2024-04-23T00:00:00" u="1"/>
        <d v="2024-04-24T00:00:00" u="1"/>
        <d v="2024-04-25T00:00:00" u="1"/>
        <d v="2024-04-26T00:00:00" u="1"/>
        <d v="2024-04-27T00:00:00" u="1"/>
        <d v="2024-04-28T00:00:00" u="1"/>
        <d v="2024-04-29T00:00:00" u="1"/>
        <d v="2024-04-30T00:00:00" u="1"/>
        <d v="2024-05-01T00:00:00" u="1"/>
        <d v="2024-05-02T00:00:00" u="1"/>
        <d v="2024-05-03T00:00:00" u="1"/>
        <d v="2024-05-04T00:00:00" u="1"/>
        <d v="2024-05-05T00:00:00" u="1"/>
        <d v="2024-05-06T00:00:00" u="1"/>
        <d v="2024-05-07T00:00:00" u="1"/>
        <d v="2024-05-08T00:00:00" u="1"/>
        <d v="2024-05-09T00:00:00" u="1"/>
        <d v="2024-05-10T00:00:00" u="1"/>
        <d v="2024-05-11T00:00:00" u="1"/>
        <d v="2024-05-12T00:00:00" u="1"/>
        <d v="2024-05-13T00:00:00" u="1"/>
        <d v="2024-05-14T00:00:00" u="1"/>
        <d v="2024-05-15T00:00:00" u="1"/>
        <d v="2024-05-16T00:00:00" u="1"/>
        <d v="2024-05-17T00:00:00" u="1"/>
        <d v="2024-05-18T00:00:00" u="1"/>
        <d v="2024-05-19T00:00:00" u="1"/>
        <d v="2024-05-20T00:00:00" u="1"/>
        <d v="2024-05-21T00:00:00" u="1"/>
        <d v="2024-05-23T00:00:00" u="1"/>
        <d v="2024-05-24T00:00:00" u="1"/>
        <d v="2024-05-25T00:00:00" u="1"/>
        <d v="2024-05-26T00:00:00" u="1"/>
        <d v="2024-05-27T00:00:00" u="1"/>
        <d v="2024-05-28T00:00:00" u="1"/>
        <d v="2024-05-29T00:00:00" u="1"/>
        <d v="2024-05-30T00:00:00" u="1"/>
        <d v="2024-05-31T00:00:00" u="1"/>
        <d v="2024-06-01T00:00:00" u="1"/>
        <d v="2024-06-02T00:00:00" u="1"/>
        <d v="2024-06-03T00:00:00" u="1"/>
        <d v="2024-06-04T00:00:00" u="1"/>
        <d v="2024-06-05T00:00:00" u="1"/>
        <d v="2024-06-06T00:00:00" u="1"/>
        <d v="2024-06-07T00:00:00" u="1"/>
        <d v="2024-06-08T00:00:00" u="1"/>
        <d v="2024-06-09T00:00:00" u="1"/>
        <d v="2024-06-10T00:00:00" u="1"/>
        <d v="2024-06-11T00:00:00" u="1"/>
        <d v="2024-06-12T00:00:00" u="1"/>
        <d v="2024-06-13T00:00:00" u="1"/>
        <d v="2024-06-14T00:00:00" u="1"/>
        <d v="2024-06-15T00:00:00" u="1"/>
        <d v="2024-06-16T00:00:00" u="1"/>
        <d v="2024-06-17T00:00:00" u="1"/>
        <d v="2024-06-18T00:00:00" u="1"/>
        <d v="2024-06-19T00:00:00" u="1"/>
        <d v="2024-06-20T00:00:00" u="1"/>
        <d v="2024-06-21T00:00:00" u="1"/>
        <d v="2024-06-22T00:00:00" u="1"/>
        <d v="2024-06-23T00:00:00" u="1"/>
        <d v="2024-06-24T00:00:00" u="1"/>
        <d v="2024-06-25T00:00:00" u="1"/>
        <d v="2024-06-26T00:00:00" u="1"/>
        <d v="2024-06-27T00:00:00" u="1"/>
        <d v="2024-06-28T00:00:00" u="1"/>
        <d v="2024-06-29T00:00:00" u="1"/>
        <d v="2024-06-30T00:00:00" u="1"/>
        <d v="2024-07-01T00:00:00" u="1"/>
        <d v="2024-07-02T00:00:00" u="1"/>
        <d v="2024-07-04T00:00:00" u="1"/>
        <d v="2024-07-05T00:00:00" u="1"/>
        <d v="2024-07-07T00:00:00" u="1"/>
        <d v="2024-07-08T00:00:00" u="1"/>
        <d v="2024-07-09T00:00:00" u="1"/>
        <d v="2024-07-10T00:00:00" u="1"/>
        <d v="2024-07-11T00:00:00" u="1"/>
        <d v="2024-07-12T00:00:00" u="1"/>
        <d v="2024-07-13T00:00:00" u="1"/>
        <d v="2024-07-14T00:00:00" u="1"/>
        <d v="2024-07-15T00:00:00" u="1"/>
        <d v="2024-07-16T00:00:00" u="1"/>
        <d v="2024-07-17T00:00:00" u="1"/>
        <d v="2024-07-18T00:00:00" u="1"/>
        <d v="2024-07-19T00:00:00" u="1"/>
        <d v="2024-07-20T00:00:00" u="1"/>
        <d v="2024-07-21T00:00:00" u="1"/>
        <d v="2024-07-23T00:00:00" u="1"/>
        <d v="2024-07-24T00:00:00" u="1"/>
        <d v="2024-07-25T00:00:00" u="1"/>
        <d v="2024-07-26T00:00:00" u="1"/>
        <d v="2024-07-28T00:00:00" u="1"/>
        <d v="2024-07-29T00:00:00" u="1"/>
        <d v="2024-07-30T00:00:00" u="1"/>
        <d v="2024-07-31T00:00:00" u="1"/>
        <d v="2024-08-01T00:00:00" u="1"/>
        <d v="2024-08-02T00:00:00" u="1"/>
        <d v="2024-08-03T00:00:00" u="1"/>
        <d v="2024-08-04T00:00:00" u="1"/>
        <d v="2024-08-05T00:00:00" u="1"/>
        <d v="2024-08-06T00:00:00" u="1"/>
        <d v="2024-08-07T00:00:00" u="1"/>
        <d v="2024-08-08T00:00:00" u="1"/>
        <d v="2024-08-09T00:00:00" u="1"/>
        <d v="2024-08-11T00:00:00" u="1"/>
        <d v="2024-08-12T00:00:00" u="1"/>
        <d v="2024-08-13T00:00:00" u="1"/>
        <d v="2024-08-15T00:00:00" u="1"/>
        <d v="2024-08-17T00:00:00" u="1"/>
        <d v="2024-08-18T00:00:00" u="1"/>
        <d v="2024-08-19T00:00:00" u="1"/>
        <d v="2024-08-20T00:00:00" u="1"/>
        <d v="2024-08-21T00:00:00" u="1"/>
        <d v="2024-08-22T00:00:00" u="1"/>
        <d v="2024-08-23T00:00:00" u="1"/>
      </sharedItems>
      <fieldGroup par="16"/>
    </cacheField>
    <cacheField name="Customer ID" numFmtId="0">
      <sharedItems/>
    </cacheField>
    <cacheField name="Customer Name" numFmtId="0">
      <sharedItems/>
    </cacheField>
    <cacheField name="Segment" numFmtId="0">
      <sharedItems count="3">
        <s v="Corporate"/>
        <s v="Consumer"/>
        <s v="Home Office"/>
      </sharedItems>
    </cacheField>
    <cacheField name="City" numFmtId="0">
      <sharedItems count="6">
        <s v="Mumbai"/>
        <s v="Kolkata"/>
        <s v="Delhi"/>
        <s v="Hyderabad"/>
        <s v="Bangalore"/>
        <s v="Chennai"/>
      </sharedItems>
    </cacheField>
    <cacheField name="State" numFmtId="0">
      <sharedItems/>
    </cacheField>
    <cacheField name="Region" numFmtId="0">
      <sharedItems count="4">
        <s v="West"/>
        <s v="East"/>
        <s v="North"/>
        <s v="South"/>
      </sharedItems>
    </cacheField>
    <cacheField name="Category" numFmtId="0">
      <sharedItems count="3">
        <s v="Electronics"/>
        <s v="Clothing"/>
        <s v="Furniture"/>
      </sharedItems>
    </cacheField>
    <cacheField name="Product Name" numFmtId="0">
      <sharedItems count="7">
        <s v="Table"/>
        <s v="Headphones"/>
        <s v="Mobile"/>
        <s v="Laptop"/>
        <s v="T-shirt"/>
        <s v="Chair"/>
        <s v="Jeans"/>
      </sharedItems>
    </cacheField>
    <cacheField name="Sales" numFmtId="44">
      <sharedItems containsSemiMixedTypes="0" containsString="0" containsNumber="1" minValue="555.61" maxValue="49919.68"/>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44">
      <sharedItems containsSemiMixedTypes="0" containsString="0" containsNumber="1" minValue="-2447.77" maxValue="4837.8599999999997"/>
    </cacheField>
    <cacheField name="Months (Order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Quarters (Order Date)" numFmtId="0" databaseField="0">
      <fieldGroup base="1">
        <rangePr groupBy="quarters" startDate="2023-01-01T00:00:00" endDate="2024-01-01T00:00:00"/>
        <groupItems count="6">
          <s v="&lt;01-01-2023"/>
          <s v="Qtr1"/>
          <s v="Qtr2"/>
          <s v="Qtr3"/>
          <s v="Qtr4"/>
          <s v="&gt;01-01-2024"/>
        </groupItems>
      </fieldGroup>
    </cacheField>
    <cacheField name="Years (Order Date)" numFmtId="0" databaseField="0">
      <fieldGroup base="1">
        <rangePr groupBy="years" startDate="2023-01-01T00:00:00" endDate="2024-01-01T00:00:00"/>
        <groupItems count="4">
          <s v="&lt;01-01-2023"/>
          <s v="2023"/>
          <s v="2024"/>
          <s v="&gt;01-01-2024"/>
        </groupItems>
      </fieldGroup>
    </cacheField>
  </cacheFields>
  <extLst>
    <ext xmlns:x14="http://schemas.microsoft.com/office/spreadsheetml/2009/9/main" uri="{725AE2AE-9491-48be-B2B4-4EB974FC3084}">
      <x14:pivotCacheDefinition pivotCacheId="426771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1078"/>
    <x v="0"/>
    <s v="CUST261"/>
    <s v="Ankit Roy"/>
    <x v="0"/>
    <x v="0"/>
    <s v="Maharashtra"/>
    <x v="0"/>
    <x v="0"/>
    <x v="0"/>
    <n v="41036.67"/>
    <n v="6"/>
    <n v="0.15"/>
    <n v="1025.92"/>
  </r>
  <r>
    <s v="ORD1450"/>
    <x v="0"/>
    <s v="CUST757"/>
    <s v="Ravi Kumar"/>
    <x v="1"/>
    <x v="0"/>
    <s v="Maharashtra"/>
    <x v="0"/>
    <x v="1"/>
    <x v="1"/>
    <n v="21841.040000000001"/>
    <n v="6"/>
    <n v="0.19"/>
    <n v="109.21"/>
  </r>
  <r>
    <s v="ORD1637"/>
    <x v="0"/>
    <s v="CUST238"/>
    <s v="Neha Singh"/>
    <x v="1"/>
    <x v="1"/>
    <s v="West Bengal"/>
    <x v="1"/>
    <x v="1"/>
    <x v="2"/>
    <n v="40588.800000000003"/>
    <n v="4"/>
    <n v="0.01"/>
    <n v="3855.94"/>
  </r>
  <r>
    <s v="ORD2008"/>
    <x v="0"/>
    <s v="CUST178"/>
    <s v="Ravi Kumar"/>
    <x v="2"/>
    <x v="2"/>
    <s v="Delhi"/>
    <x v="2"/>
    <x v="0"/>
    <x v="0"/>
    <n v="38021.870000000003"/>
    <n v="4"/>
    <n v="0.25"/>
    <n v="-950.55"/>
  </r>
  <r>
    <s v="ORD2089"/>
    <x v="0"/>
    <s v="CUST108"/>
    <s v="Sneha Paul"/>
    <x v="2"/>
    <x v="3"/>
    <s v="Telangana"/>
    <x v="2"/>
    <x v="1"/>
    <x v="3"/>
    <n v="10697.58"/>
    <n v="3"/>
    <n v="0.12"/>
    <n v="427.9"/>
  </r>
  <r>
    <s v="ORD2371"/>
    <x v="1"/>
    <s v="CUST697"/>
    <s v="Pooja Verma"/>
    <x v="2"/>
    <x v="4"/>
    <s v="Karnataka"/>
    <x v="3"/>
    <x v="2"/>
    <x v="4"/>
    <n v="38297.949999999997"/>
    <n v="8"/>
    <n v="0.28000000000000003"/>
    <n v="-1531.92"/>
  </r>
  <r>
    <s v="ORD2023"/>
    <x v="2"/>
    <s v="CUST642"/>
    <s v="Pooja Verma"/>
    <x v="2"/>
    <x v="4"/>
    <s v="Karnataka"/>
    <x v="3"/>
    <x v="2"/>
    <x v="0"/>
    <n v="43343.32"/>
    <n v="2"/>
    <n v="0.28000000000000003"/>
    <n v="-1733.73"/>
  </r>
  <r>
    <s v="ORD2202"/>
    <x v="2"/>
    <s v="CUST742"/>
    <s v="Sneha Paul"/>
    <x v="2"/>
    <x v="5"/>
    <s v="Tamil Nadu"/>
    <x v="1"/>
    <x v="0"/>
    <x v="3"/>
    <n v="32902.65"/>
    <n v="5"/>
    <n v="0.01"/>
    <n v="3125.75"/>
  </r>
  <r>
    <s v="ORD1412"/>
    <x v="3"/>
    <s v="CUST965"/>
    <s v="Sneha Paul"/>
    <x v="2"/>
    <x v="2"/>
    <s v="Delhi"/>
    <x v="2"/>
    <x v="0"/>
    <x v="0"/>
    <n v="45338.11"/>
    <n v="9"/>
    <n v="0.24"/>
    <n v="-906.76"/>
  </r>
  <r>
    <s v="ORD1969"/>
    <x v="3"/>
    <s v="CUST981"/>
    <s v="Amit Sharma"/>
    <x v="1"/>
    <x v="3"/>
    <s v="Telangana"/>
    <x v="2"/>
    <x v="1"/>
    <x v="2"/>
    <n v="43039.68"/>
    <n v="5"/>
    <n v="0.18"/>
    <n v="430.4"/>
  </r>
  <r>
    <s v="ORD1848"/>
    <x v="4"/>
    <s v="CUST889"/>
    <s v="Ravi Kumar"/>
    <x v="0"/>
    <x v="5"/>
    <s v="Tamil Nadu"/>
    <x v="1"/>
    <x v="0"/>
    <x v="1"/>
    <n v="2356.3000000000002"/>
    <n v="5"/>
    <n v="0.06"/>
    <n v="164.94"/>
  </r>
  <r>
    <s v="ORD1209"/>
    <x v="5"/>
    <s v="CUST779"/>
    <s v="Rahul Das"/>
    <x v="1"/>
    <x v="0"/>
    <s v="Maharashtra"/>
    <x v="0"/>
    <x v="0"/>
    <x v="3"/>
    <n v="42645.279999999999"/>
    <n v="5"/>
    <n v="0.3"/>
    <n v="-2132.2600000000002"/>
  </r>
  <r>
    <s v="ORD1460"/>
    <x v="5"/>
    <s v="CUST536"/>
    <s v="Pooja Verma"/>
    <x v="2"/>
    <x v="1"/>
    <s v="West Bengal"/>
    <x v="1"/>
    <x v="1"/>
    <x v="5"/>
    <n v="24463.63"/>
    <n v="7"/>
    <n v="0.03"/>
    <n v="2079.41"/>
  </r>
  <r>
    <s v="ORD1940"/>
    <x v="5"/>
    <s v="CUST546"/>
    <s v="Rahul Das"/>
    <x v="1"/>
    <x v="4"/>
    <s v="Karnataka"/>
    <x v="3"/>
    <x v="1"/>
    <x v="4"/>
    <n v="34399.01"/>
    <n v="3"/>
    <n v="0.06"/>
    <n v="2407.9299999999998"/>
  </r>
  <r>
    <s v="ORD2035"/>
    <x v="5"/>
    <s v="CUST146"/>
    <s v="Neha Singh"/>
    <x v="2"/>
    <x v="5"/>
    <s v="Tamil Nadu"/>
    <x v="1"/>
    <x v="1"/>
    <x v="2"/>
    <n v="16212.34"/>
    <n v="10"/>
    <n v="0.13"/>
    <n v="567.42999999999995"/>
  </r>
  <r>
    <s v="ORD1434"/>
    <x v="6"/>
    <s v="CUST515"/>
    <s v="Amit Sharma"/>
    <x v="0"/>
    <x v="1"/>
    <s v="West Bengal"/>
    <x v="1"/>
    <x v="0"/>
    <x v="1"/>
    <n v="11696.8"/>
    <n v="5"/>
    <n v="0.27"/>
    <n v="-409.39"/>
  </r>
  <r>
    <s v="ORD1587"/>
    <x v="6"/>
    <s v="CUST564"/>
    <s v="Neha Singh"/>
    <x v="0"/>
    <x v="1"/>
    <s v="West Bengal"/>
    <x v="1"/>
    <x v="0"/>
    <x v="0"/>
    <n v="21198.14"/>
    <n v="9"/>
    <n v="0.15"/>
    <n v="529.95000000000005"/>
  </r>
  <r>
    <s v="ORD1728"/>
    <x v="6"/>
    <s v="CUST930"/>
    <s v="Rahul Das"/>
    <x v="2"/>
    <x v="3"/>
    <s v="Telangana"/>
    <x v="2"/>
    <x v="2"/>
    <x v="2"/>
    <n v="29156.19"/>
    <n v="10"/>
    <n v="0.18"/>
    <n v="291.56"/>
  </r>
  <r>
    <s v="ORD1731"/>
    <x v="6"/>
    <s v="CUST342"/>
    <s v="Neha Singh"/>
    <x v="2"/>
    <x v="4"/>
    <s v="Karnataka"/>
    <x v="3"/>
    <x v="1"/>
    <x v="3"/>
    <n v="7353.73"/>
    <n v="5"/>
    <n v="0.12"/>
    <n v="294.14999999999998"/>
  </r>
  <r>
    <s v="ORD1963"/>
    <x v="6"/>
    <s v="CUST549"/>
    <s v="Ravi Kumar"/>
    <x v="0"/>
    <x v="0"/>
    <s v="Maharashtra"/>
    <x v="0"/>
    <x v="2"/>
    <x v="2"/>
    <n v="34831.97"/>
    <n v="1"/>
    <n v="0.25"/>
    <n v="-870.8"/>
  </r>
  <r>
    <s v="ORD1974"/>
    <x v="7"/>
    <s v="CUST207"/>
    <s v="Pooja Verma"/>
    <x v="0"/>
    <x v="1"/>
    <s v="West Bengal"/>
    <x v="1"/>
    <x v="2"/>
    <x v="3"/>
    <n v="1889.2"/>
    <n v="8"/>
    <n v="0.03"/>
    <n v="160.58000000000001"/>
  </r>
  <r>
    <s v="ORD2451"/>
    <x v="7"/>
    <s v="CUST108"/>
    <s v="Sneha Paul"/>
    <x v="1"/>
    <x v="3"/>
    <s v="Telangana"/>
    <x v="2"/>
    <x v="2"/>
    <x v="3"/>
    <n v="4144.83"/>
    <n v="2"/>
    <n v="0.22"/>
    <n v="-41.45"/>
  </r>
  <r>
    <s v="ORD2485"/>
    <x v="7"/>
    <s v="CUST705"/>
    <s v="Pooja Verma"/>
    <x v="0"/>
    <x v="0"/>
    <s v="Maharashtra"/>
    <x v="0"/>
    <x v="0"/>
    <x v="5"/>
    <n v="22880.12"/>
    <n v="7"/>
    <n v="0.06"/>
    <n v="1601.61"/>
  </r>
  <r>
    <s v="ORD1414"/>
    <x v="8"/>
    <s v="CUST438"/>
    <s v="Rahul Das"/>
    <x v="0"/>
    <x v="5"/>
    <s v="Tamil Nadu"/>
    <x v="1"/>
    <x v="0"/>
    <x v="0"/>
    <n v="14611.63"/>
    <n v="10"/>
    <n v="0.11"/>
    <n v="657.52"/>
  </r>
  <r>
    <s v="ORD2051"/>
    <x v="8"/>
    <s v="CUST719"/>
    <s v="Pooja Verma"/>
    <x v="0"/>
    <x v="3"/>
    <s v="Telangana"/>
    <x v="2"/>
    <x v="1"/>
    <x v="2"/>
    <n v="15574.84"/>
    <n v="6"/>
    <n v="7.0000000000000007E-2"/>
    <n v="1012.36"/>
  </r>
  <r>
    <s v="ORD2390"/>
    <x v="8"/>
    <s v="CUST360"/>
    <s v="Ravi Kumar"/>
    <x v="2"/>
    <x v="1"/>
    <s v="West Bengal"/>
    <x v="1"/>
    <x v="2"/>
    <x v="2"/>
    <n v="6378.74"/>
    <n v="6"/>
    <n v="0.14000000000000001"/>
    <n v="191.36"/>
  </r>
  <r>
    <s v="ORD2496"/>
    <x v="8"/>
    <s v="CUST150"/>
    <s v="Sneha Paul"/>
    <x v="0"/>
    <x v="0"/>
    <s v="Maharashtra"/>
    <x v="0"/>
    <x v="1"/>
    <x v="0"/>
    <n v="38709.85"/>
    <n v="9"/>
    <n v="0.04"/>
    <n v="3096.79"/>
  </r>
  <r>
    <s v="ORD2047"/>
    <x v="9"/>
    <s v="CUST684"/>
    <s v="Ankit Roy"/>
    <x v="0"/>
    <x v="3"/>
    <s v="Telangana"/>
    <x v="2"/>
    <x v="0"/>
    <x v="0"/>
    <n v="29086.85"/>
    <n v="4"/>
    <n v="0.23"/>
    <n v="-436.3"/>
  </r>
  <r>
    <s v="ORD2131"/>
    <x v="9"/>
    <s v="CUST449"/>
    <s v="Neha Singh"/>
    <x v="1"/>
    <x v="4"/>
    <s v="Karnataka"/>
    <x v="3"/>
    <x v="0"/>
    <x v="0"/>
    <n v="34986.379999999997"/>
    <n v="7"/>
    <n v="0.09"/>
    <n v="1924.25"/>
  </r>
  <r>
    <s v="ORD1965"/>
    <x v="10"/>
    <s v="CUST136"/>
    <s v="Ankit Roy"/>
    <x v="0"/>
    <x v="5"/>
    <s v="Tamil Nadu"/>
    <x v="1"/>
    <x v="0"/>
    <x v="1"/>
    <n v="46309.15"/>
    <n v="4"/>
    <n v="0.13"/>
    <n v="1620.82"/>
  </r>
  <r>
    <s v="ORD1980"/>
    <x v="10"/>
    <s v="CUST930"/>
    <s v="Ankit Roy"/>
    <x v="1"/>
    <x v="5"/>
    <s v="Tamil Nadu"/>
    <x v="1"/>
    <x v="0"/>
    <x v="3"/>
    <n v="41272.089999999997"/>
    <n v="9"/>
    <n v="0.09"/>
    <n v="2269.96"/>
  </r>
  <r>
    <s v="ORD1110"/>
    <x v="11"/>
    <s v="CUST891"/>
    <s v="Amit Sharma"/>
    <x v="1"/>
    <x v="0"/>
    <s v="Maharashtra"/>
    <x v="0"/>
    <x v="1"/>
    <x v="0"/>
    <n v="41278.019999999997"/>
    <n v="3"/>
    <n v="0.23"/>
    <n v="-619.16999999999996"/>
  </r>
  <r>
    <s v="ORD1116"/>
    <x v="11"/>
    <s v="CUST923"/>
    <s v="Neha Singh"/>
    <x v="2"/>
    <x v="1"/>
    <s v="West Bengal"/>
    <x v="1"/>
    <x v="1"/>
    <x v="5"/>
    <n v="17429.3"/>
    <n v="10"/>
    <n v="0.11"/>
    <n v="784.32"/>
  </r>
  <r>
    <s v="ORD1856"/>
    <x v="11"/>
    <s v="CUST207"/>
    <s v="Sneha Paul"/>
    <x v="1"/>
    <x v="1"/>
    <s v="West Bengal"/>
    <x v="1"/>
    <x v="0"/>
    <x v="5"/>
    <n v="45294.559999999998"/>
    <n v="2"/>
    <n v="0.21"/>
    <n v="-226.47"/>
  </r>
  <r>
    <s v="ORD1950"/>
    <x v="11"/>
    <s v="CUST159"/>
    <s v="Ravi Kumar"/>
    <x v="1"/>
    <x v="5"/>
    <s v="Tamil Nadu"/>
    <x v="1"/>
    <x v="0"/>
    <x v="4"/>
    <n v="28524.53"/>
    <n v="10"/>
    <n v="0.26"/>
    <n v="-855.74"/>
  </r>
  <r>
    <s v="ORD2340"/>
    <x v="11"/>
    <s v="CUST791"/>
    <s v="Rahul Das"/>
    <x v="2"/>
    <x v="1"/>
    <s v="West Bengal"/>
    <x v="1"/>
    <x v="1"/>
    <x v="0"/>
    <n v="39046.660000000003"/>
    <n v="7"/>
    <n v="0.12"/>
    <n v="1561.87"/>
  </r>
  <r>
    <s v="ORD1316"/>
    <x v="12"/>
    <s v="CUST891"/>
    <s v="Ankit Roy"/>
    <x v="1"/>
    <x v="2"/>
    <s v="Delhi"/>
    <x v="2"/>
    <x v="2"/>
    <x v="5"/>
    <n v="1917.23"/>
    <n v="9"/>
    <n v="0.23"/>
    <n v="-28.76"/>
  </r>
  <r>
    <s v="ORD1324"/>
    <x v="12"/>
    <s v="CUST217"/>
    <s v="Sneha Paul"/>
    <x v="1"/>
    <x v="5"/>
    <s v="Tamil Nadu"/>
    <x v="1"/>
    <x v="1"/>
    <x v="6"/>
    <n v="43111.01"/>
    <n v="9"/>
    <n v="0.12"/>
    <n v="1724.44"/>
  </r>
  <r>
    <s v="ORD2134"/>
    <x v="12"/>
    <s v="CUST189"/>
    <s v="Ankit Roy"/>
    <x v="1"/>
    <x v="1"/>
    <s v="West Bengal"/>
    <x v="1"/>
    <x v="0"/>
    <x v="6"/>
    <n v="23067.29"/>
    <n v="6"/>
    <n v="0.03"/>
    <n v="1960.72"/>
  </r>
  <r>
    <s v="ORD1313"/>
    <x v="13"/>
    <s v="CUST822"/>
    <s v="Neha Singh"/>
    <x v="0"/>
    <x v="0"/>
    <s v="Maharashtra"/>
    <x v="0"/>
    <x v="0"/>
    <x v="6"/>
    <n v="18682.990000000002"/>
    <n v="8"/>
    <n v="0.26"/>
    <n v="-560.49"/>
  </r>
  <r>
    <s v="ORD1353"/>
    <x v="13"/>
    <s v="CUST501"/>
    <s v="Sneha Paul"/>
    <x v="1"/>
    <x v="1"/>
    <s v="West Bengal"/>
    <x v="1"/>
    <x v="0"/>
    <x v="1"/>
    <n v="32912.33"/>
    <n v="6"/>
    <n v="0.16"/>
    <n v="658.25"/>
  </r>
  <r>
    <s v="ORD2359"/>
    <x v="13"/>
    <s v="CUST578"/>
    <s v="Rahul Das"/>
    <x v="1"/>
    <x v="2"/>
    <s v="Delhi"/>
    <x v="2"/>
    <x v="2"/>
    <x v="3"/>
    <n v="22570.71"/>
    <n v="7"/>
    <n v="0.05"/>
    <n v="1692.8"/>
  </r>
  <r>
    <s v="ORD1318"/>
    <x v="14"/>
    <s v="CUST414"/>
    <s v="Rahul Das"/>
    <x v="0"/>
    <x v="3"/>
    <s v="Telangana"/>
    <x v="2"/>
    <x v="2"/>
    <x v="3"/>
    <n v="15444.05"/>
    <n v="5"/>
    <n v="0.26"/>
    <n v="-463.32"/>
  </r>
  <r>
    <s v="ORD1333"/>
    <x v="14"/>
    <s v="CUST505"/>
    <s v="Sneha Paul"/>
    <x v="2"/>
    <x v="0"/>
    <s v="Maharashtra"/>
    <x v="0"/>
    <x v="2"/>
    <x v="0"/>
    <n v="18660.23"/>
    <n v="7"/>
    <n v="0.26"/>
    <n v="-559.80999999999995"/>
  </r>
  <r>
    <s v="ORD1989"/>
    <x v="14"/>
    <s v="CUST598"/>
    <s v="Sneha Paul"/>
    <x v="1"/>
    <x v="5"/>
    <s v="Tamil Nadu"/>
    <x v="1"/>
    <x v="2"/>
    <x v="1"/>
    <n v="5487.64"/>
    <n v="2"/>
    <n v="7.0000000000000007E-2"/>
    <n v="356.7"/>
  </r>
  <r>
    <s v="ORD2321"/>
    <x v="14"/>
    <s v="CUST323"/>
    <s v="Amit Sharma"/>
    <x v="1"/>
    <x v="5"/>
    <s v="Tamil Nadu"/>
    <x v="1"/>
    <x v="1"/>
    <x v="5"/>
    <n v="17989.03"/>
    <n v="3"/>
    <n v="0.2"/>
    <n v="0"/>
  </r>
  <r>
    <s v="ORD1149"/>
    <x v="15"/>
    <s v="CUST613"/>
    <s v="Neha Singh"/>
    <x v="1"/>
    <x v="1"/>
    <s v="West Bengal"/>
    <x v="1"/>
    <x v="2"/>
    <x v="5"/>
    <n v="35421.86"/>
    <n v="3"/>
    <n v="0.27"/>
    <n v="-1239.77"/>
  </r>
  <r>
    <s v="ORD1297"/>
    <x v="15"/>
    <s v="CUST793"/>
    <s v="Pooja Verma"/>
    <x v="0"/>
    <x v="3"/>
    <s v="Telangana"/>
    <x v="2"/>
    <x v="1"/>
    <x v="4"/>
    <n v="41204.82"/>
    <n v="7"/>
    <n v="0.27"/>
    <n v="-1442.17"/>
  </r>
  <r>
    <s v="ORD1385"/>
    <x v="15"/>
    <s v="CUST800"/>
    <s v="Amit Sharma"/>
    <x v="0"/>
    <x v="4"/>
    <s v="Karnataka"/>
    <x v="3"/>
    <x v="2"/>
    <x v="6"/>
    <n v="36237.839999999997"/>
    <n v="10"/>
    <n v="0.27"/>
    <n v="-1268.32"/>
  </r>
  <r>
    <s v="ORD1812"/>
    <x v="15"/>
    <s v="CUST281"/>
    <s v="Sneha Paul"/>
    <x v="1"/>
    <x v="2"/>
    <s v="Delhi"/>
    <x v="2"/>
    <x v="0"/>
    <x v="3"/>
    <n v="36441.919999999998"/>
    <n v="10"/>
    <n v="0.15"/>
    <n v="911.05"/>
  </r>
  <r>
    <s v="ORD2418"/>
    <x v="16"/>
    <s v="CUST580"/>
    <s v="Ankit Roy"/>
    <x v="0"/>
    <x v="2"/>
    <s v="Delhi"/>
    <x v="2"/>
    <x v="0"/>
    <x v="6"/>
    <n v="8155.49"/>
    <n v="3"/>
    <n v="0.04"/>
    <n v="652.44000000000005"/>
  </r>
  <r>
    <s v="ORD1018"/>
    <x v="17"/>
    <s v="CUST876"/>
    <s v="Ravi Kumar"/>
    <x v="1"/>
    <x v="3"/>
    <s v="Telangana"/>
    <x v="2"/>
    <x v="2"/>
    <x v="0"/>
    <n v="15259.38"/>
    <n v="8"/>
    <n v="0.13"/>
    <n v="534.08000000000004"/>
  </r>
  <r>
    <s v="ORD1382"/>
    <x v="17"/>
    <s v="CUST763"/>
    <s v="Amit Sharma"/>
    <x v="1"/>
    <x v="1"/>
    <s v="West Bengal"/>
    <x v="1"/>
    <x v="1"/>
    <x v="1"/>
    <n v="2621.31"/>
    <n v="10"/>
    <n v="0.12"/>
    <n v="104.85"/>
  </r>
  <r>
    <s v="ORD2242"/>
    <x v="18"/>
    <s v="CUST487"/>
    <s v="Rahul Das"/>
    <x v="0"/>
    <x v="3"/>
    <s v="Telangana"/>
    <x v="2"/>
    <x v="2"/>
    <x v="3"/>
    <n v="13510.14"/>
    <n v="1"/>
    <n v="0.23"/>
    <n v="-202.65"/>
  </r>
  <r>
    <s v="ORD1563"/>
    <x v="19"/>
    <s v="CUST120"/>
    <s v="Ankit Roy"/>
    <x v="1"/>
    <x v="4"/>
    <s v="Karnataka"/>
    <x v="3"/>
    <x v="0"/>
    <x v="4"/>
    <n v="42943.28"/>
    <n v="5"/>
    <n v="0.08"/>
    <n v="2576.6"/>
  </r>
  <r>
    <s v="ORD1999"/>
    <x v="19"/>
    <s v="CUST366"/>
    <s v="Ravi Kumar"/>
    <x v="2"/>
    <x v="1"/>
    <s v="West Bengal"/>
    <x v="1"/>
    <x v="2"/>
    <x v="2"/>
    <n v="20088.740000000002"/>
    <n v="5"/>
    <n v="0.13"/>
    <n v="703.11"/>
  </r>
  <r>
    <s v="ORD1508"/>
    <x v="20"/>
    <s v="CUST836"/>
    <s v="Amit Sharma"/>
    <x v="1"/>
    <x v="2"/>
    <s v="Delhi"/>
    <x v="2"/>
    <x v="2"/>
    <x v="3"/>
    <n v="33106.39"/>
    <n v="5"/>
    <n v="0.1"/>
    <n v="1655.32"/>
  </r>
  <r>
    <s v="ORD1621"/>
    <x v="20"/>
    <s v="CUST364"/>
    <s v="Rahul Das"/>
    <x v="0"/>
    <x v="0"/>
    <s v="Maharashtra"/>
    <x v="0"/>
    <x v="1"/>
    <x v="3"/>
    <n v="34531.5"/>
    <n v="10"/>
    <n v="0.11"/>
    <n v="1553.92"/>
  </r>
  <r>
    <s v="ORD1769"/>
    <x v="20"/>
    <s v="CUST837"/>
    <s v="Ravi Kumar"/>
    <x v="0"/>
    <x v="3"/>
    <s v="Telangana"/>
    <x v="2"/>
    <x v="0"/>
    <x v="1"/>
    <n v="27662.880000000001"/>
    <n v="4"/>
    <n v="0.08"/>
    <n v="1659.77"/>
  </r>
  <r>
    <s v="ORD2256"/>
    <x v="20"/>
    <s v="CUST140"/>
    <s v="Amit Sharma"/>
    <x v="1"/>
    <x v="3"/>
    <s v="Telangana"/>
    <x v="2"/>
    <x v="0"/>
    <x v="1"/>
    <n v="47807.87"/>
    <n v="3"/>
    <n v="0.24"/>
    <n v="-956.16"/>
  </r>
  <r>
    <s v="ORD1082"/>
    <x v="21"/>
    <s v="CUST471"/>
    <s v="Ankit Roy"/>
    <x v="0"/>
    <x v="3"/>
    <s v="Telangana"/>
    <x v="2"/>
    <x v="1"/>
    <x v="1"/>
    <n v="46230.78"/>
    <n v="10"/>
    <n v="0.23"/>
    <n v="-693.46"/>
  </r>
  <r>
    <s v="ORD1495"/>
    <x v="22"/>
    <s v="CUST710"/>
    <s v="Ankit Roy"/>
    <x v="1"/>
    <x v="3"/>
    <s v="Telangana"/>
    <x v="2"/>
    <x v="2"/>
    <x v="0"/>
    <n v="23030.47"/>
    <n v="6"/>
    <n v="0.22"/>
    <n v="-230.3"/>
  </r>
  <r>
    <s v="ORD1820"/>
    <x v="23"/>
    <s v="CUST581"/>
    <s v="Rahul Das"/>
    <x v="2"/>
    <x v="5"/>
    <s v="Tamil Nadu"/>
    <x v="1"/>
    <x v="1"/>
    <x v="2"/>
    <n v="35730.67"/>
    <n v="4"/>
    <n v="0.2"/>
    <n v="0"/>
  </r>
  <r>
    <s v="ORD2285"/>
    <x v="23"/>
    <s v="CUST787"/>
    <s v="Ankit Roy"/>
    <x v="0"/>
    <x v="2"/>
    <s v="Delhi"/>
    <x v="2"/>
    <x v="2"/>
    <x v="0"/>
    <n v="27094.21"/>
    <n v="7"/>
    <n v="0.05"/>
    <n v="2032.07"/>
  </r>
  <r>
    <s v="ORD1206"/>
    <x v="24"/>
    <s v="CUST116"/>
    <s v="Rahul Das"/>
    <x v="0"/>
    <x v="0"/>
    <s v="Maharashtra"/>
    <x v="0"/>
    <x v="2"/>
    <x v="3"/>
    <n v="11964.13"/>
    <n v="2"/>
    <n v="0.18"/>
    <n v="119.64"/>
  </r>
  <r>
    <s v="ORD1261"/>
    <x v="24"/>
    <s v="CUST600"/>
    <s v="Ankit Roy"/>
    <x v="0"/>
    <x v="3"/>
    <s v="Telangana"/>
    <x v="2"/>
    <x v="0"/>
    <x v="2"/>
    <n v="38577.599999999999"/>
    <n v="9"/>
    <n v="0.28999999999999998"/>
    <n v="-1735.99"/>
  </r>
  <r>
    <s v="ORD1317"/>
    <x v="24"/>
    <s v="CUST386"/>
    <s v="Sneha Paul"/>
    <x v="0"/>
    <x v="5"/>
    <s v="Tamil Nadu"/>
    <x v="1"/>
    <x v="0"/>
    <x v="4"/>
    <n v="32130.55"/>
    <n v="2"/>
    <n v="0.22"/>
    <n v="-321.31"/>
  </r>
  <r>
    <s v="ORD1735"/>
    <x v="24"/>
    <s v="CUST956"/>
    <s v="Amit Sharma"/>
    <x v="0"/>
    <x v="2"/>
    <s v="Delhi"/>
    <x v="2"/>
    <x v="0"/>
    <x v="2"/>
    <n v="45268.28"/>
    <n v="6"/>
    <n v="0"/>
    <n v="4526.83"/>
  </r>
  <r>
    <s v="ORD1234"/>
    <x v="25"/>
    <s v="CUST642"/>
    <s v="Sneha Paul"/>
    <x v="1"/>
    <x v="0"/>
    <s v="Maharashtra"/>
    <x v="0"/>
    <x v="2"/>
    <x v="1"/>
    <n v="45103.41"/>
    <n v="10"/>
    <n v="0.05"/>
    <n v="3382.76"/>
  </r>
  <r>
    <s v="ORD1494"/>
    <x v="25"/>
    <s v="CUST138"/>
    <s v="Sneha Paul"/>
    <x v="0"/>
    <x v="3"/>
    <s v="Telangana"/>
    <x v="2"/>
    <x v="0"/>
    <x v="2"/>
    <n v="11701.38"/>
    <n v="7"/>
    <n v="0.08"/>
    <n v="702.08"/>
  </r>
  <r>
    <s v="ORD1707"/>
    <x v="25"/>
    <s v="CUST540"/>
    <s v="Neha Singh"/>
    <x v="2"/>
    <x v="3"/>
    <s v="Telangana"/>
    <x v="2"/>
    <x v="0"/>
    <x v="4"/>
    <n v="34258.58"/>
    <n v="2"/>
    <n v="0.14000000000000001"/>
    <n v="1027.76"/>
  </r>
  <r>
    <s v="ORD2092"/>
    <x v="25"/>
    <s v="CUST502"/>
    <s v="Sneha Paul"/>
    <x v="0"/>
    <x v="4"/>
    <s v="Karnataka"/>
    <x v="3"/>
    <x v="1"/>
    <x v="4"/>
    <n v="12840.86"/>
    <n v="9"/>
    <n v="0.13"/>
    <n v="449.43"/>
  </r>
  <r>
    <s v="ORD2437"/>
    <x v="25"/>
    <s v="CUST345"/>
    <s v="Ravi Kumar"/>
    <x v="2"/>
    <x v="3"/>
    <s v="Telangana"/>
    <x v="2"/>
    <x v="2"/>
    <x v="0"/>
    <n v="13619.22"/>
    <n v="5"/>
    <n v="7.0000000000000007E-2"/>
    <n v="885.25"/>
  </r>
  <r>
    <s v="ORD1441"/>
    <x v="26"/>
    <s v="CUST565"/>
    <s v="Neha Singh"/>
    <x v="2"/>
    <x v="3"/>
    <s v="Telangana"/>
    <x v="2"/>
    <x v="2"/>
    <x v="0"/>
    <n v="43444.52"/>
    <n v="5"/>
    <n v="0.2"/>
    <n v="0"/>
  </r>
  <r>
    <s v="ORD1659"/>
    <x v="26"/>
    <s v="CUST496"/>
    <s v="Pooja Verma"/>
    <x v="0"/>
    <x v="1"/>
    <s v="West Bengal"/>
    <x v="1"/>
    <x v="0"/>
    <x v="5"/>
    <n v="17573.310000000001"/>
    <n v="1"/>
    <n v="0.12"/>
    <n v="702.93"/>
  </r>
  <r>
    <s v="ORD1828"/>
    <x v="26"/>
    <s v="CUST483"/>
    <s v="Rahul Das"/>
    <x v="2"/>
    <x v="4"/>
    <s v="Karnataka"/>
    <x v="3"/>
    <x v="1"/>
    <x v="6"/>
    <n v="18060.150000000001"/>
    <n v="4"/>
    <n v="0.14000000000000001"/>
    <n v="541.79999999999995"/>
  </r>
  <r>
    <s v="ORD1448"/>
    <x v="27"/>
    <s v="CUST403"/>
    <s v="Ankit Roy"/>
    <x v="2"/>
    <x v="1"/>
    <s v="West Bengal"/>
    <x v="1"/>
    <x v="0"/>
    <x v="3"/>
    <n v="25596.27"/>
    <n v="2"/>
    <n v="0.09"/>
    <n v="1407.79"/>
  </r>
  <r>
    <s v="ORD2233"/>
    <x v="27"/>
    <s v="CUST882"/>
    <s v="Rahul Das"/>
    <x v="2"/>
    <x v="2"/>
    <s v="Delhi"/>
    <x v="2"/>
    <x v="2"/>
    <x v="5"/>
    <n v="44861.33"/>
    <n v="10"/>
    <n v="0.24"/>
    <n v="-897.23"/>
  </r>
  <r>
    <s v="ORD1056"/>
    <x v="28"/>
    <s v="CUST990"/>
    <s v="Rahul Das"/>
    <x v="1"/>
    <x v="4"/>
    <s v="Karnataka"/>
    <x v="3"/>
    <x v="0"/>
    <x v="6"/>
    <n v="22015.119999999999"/>
    <n v="2"/>
    <n v="0.19"/>
    <n v="110.08"/>
  </r>
  <r>
    <s v="ORD1539"/>
    <x v="28"/>
    <s v="CUST958"/>
    <s v="Sneha Paul"/>
    <x v="0"/>
    <x v="3"/>
    <s v="Telangana"/>
    <x v="2"/>
    <x v="2"/>
    <x v="3"/>
    <n v="3996.36"/>
    <n v="6"/>
    <n v="0.14000000000000001"/>
    <n v="119.89"/>
  </r>
  <r>
    <s v="ORD1894"/>
    <x v="28"/>
    <s v="CUST973"/>
    <s v="Amit Sharma"/>
    <x v="0"/>
    <x v="1"/>
    <s v="West Bengal"/>
    <x v="1"/>
    <x v="1"/>
    <x v="6"/>
    <n v="7171.52"/>
    <n v="8"/>
    <n v="0.11"/>
    <n v="322.72000000000003"/>
  </r>
  <r>
    <s v="ORD2294"/>
    <x v="28"/>
    <s v="CUST573"/>
    <s v="Ravi Kumar"/>
    <x v="0"/>
    <x v="3"/>
    <s v="Telangana"/>
    <x v="2"/>
    <x v="1"/>
    <x v="4"/>
    <n v="48122.38"/>
    <n v="8"/>
    <n v="0.13"/>
    <n v="1684.28"/>
  </r>
  <r>
    <s v="ORD1915"/>
    <x v="29"/>
    <s v="CUST772"/>
    <s v="Sneha Paul"/>
    <x v="0"/>
    <x v="0"/>
    <s v="Maharashtra"/>
    <x v="0"/>
    <x v="0"/>
    <x v="4"/>
    <n v="26497.759999999998"/>
    <n v="3"/>
    <n v="0.04"/>
    <n v="2119.8200000000002"/>
  </r>
  <r>
    <s v="ORD1173"/>
    <x v="30"/>
    <s v="CUST503"/>
    <s v="Ankit Roy"/>
    <x v="0"/>
    <x v="5"/>
    <s v="Tamil Nadu"/>
    <x v="1"/>
    <x v="0"/>
    <x v="1"/>
    <n v="39870.35"/>
    <n v="8"/>
    <n v="0.18"/>
    <n v="398.7"/>
  </r>
  <r>
    <s v="ORD1259"/>
    <x v="31"/>
    <s v="CUST833"/>
    <s v="Ankit Roy"/>
    <x v="2"/>
    <x v="2"/>
    <s v="Delhi"/>
    <x v="2"/>
    <x v="2"/>
    <x v="2"/>
    <n v="9050.1299999999992"/>
    <n v="3"/>
    <n v="0.25"/>
    <n v="-226.25"/>
  </r>
  <r>
    <s v="ORD1997"/>
    <x v="31"/>
    <s v="CUST317"/>
    <s v="Pooja Verma"/>
    <x v="2"/>
    <x v="5"/>
    <s v="Tamil Nadu"/>
    <x v="1"/>
    <x v="0"/>
    <x v="5"/>
    <n v="12647.03"/>
    <n v="8"/>
    <n v="0.05"/>
    <n v="948.53"/>
  </r>
  <r>
    <s v="ORD1665"/>
    <x v="32"/>
    <s v="CUST288"/>
    <s v="Neha Singh"/>
    <x v="0"/>
    <x v="3"/>
    <s v="Telangana"/>
    <x v="2"/>
    <x v="0"/>
    <x v="4"/>
    <n v="3610.62"/>
    <n v="9"/>
    <n v="0.28000000000000003"/>
    <n v="-144.41999999999999"/>
  </r>
  <r>
    <s v="ORD1863"/>
    <x v="32"/>
    <s v="CUST171"/>
    <s v="Pooja Verma"/>
    <x v="2"/>
    <x v="1"/>
    <s v="West Bengal"/>
    <x v="1"/>
    <x v="1"/>
    <x v="5"/>
    <n v="46265.77"/>
    <n v="3"/>
    <n v="0.16"/>
    <n v="925.32"/>
  </r>
  <r>
    <s v="ORD1072"/>
    <x v="33"/>
    <s v="CUST537"/>
    <s v="Sneha Paul"/>
    <x v="1"/>
    <x v="4"/>
    <s v="Karnataka"/>
    <x v="3"/>
    <x v="1"/>
    <x v="5"/>
    <n v="38810.35"/>
    <n v="9"/>
    <n v="0.1"/>
    <n v="1940.52"/>
  </r>
  <r>
    <s v="ORD1216"/>
    <x v="33"/>
    <s v="CUST503"/>
    <s v="Sneha Paul"/>
    <x v="1"/>
    <x v="0"/>
    <s v="Maharashtra"/>
    <x v="0"/>
    <x v="0"/>
    <x v="6"/>
    <n v="9878.8700000000008"/>
    <n v="10"/>
    <n v="0.16"/>
    <n v="197.58"/>
  </r>
  <r>
    <s v="ORD1288"/>
    <x v="33"/>
    <s v="CUST721"/>
    <s v="Neha Singh"/>
    <x v="0"/>
    <x v="0"/>
    <s v="Maharashtra"/>
    <x v="0"/>
    <x v="0"/>
    <x v="5"/>
    <n v="23509.81"/>
    <n v="6"/>
    <n v="0.19"/>
    <n v="117.55"/>
  </r>
  <r>
    <s v="ORD1557"/>
    <x v="33"/>
    <s v="CUST900"/>
    <s v="Neha Singh"/>
    <x v="0"/>
    <x v="4"/>
    <s v="Karnataka"/>
    <x v="3"/>
    <x v="0"/>
    <x v="0"/>
    <n v="25801.67"/>
    <n v="10"/>
    <n v="0.08"/>
    <n v="1548.1"/>
  </r>
  <r>
    <s v="ORD2091"/>
    <x v="33"/>
    <s v="CUST231"/>
    <s v="Ravi Kumar"/>
    <x v="0"/>
    <x v="4"/>
    <s v="Karnataka"/>
    <x v="3"/>
    <x v="1"/>
    <x v="3"/>
    <n v="22852.54"/>
    <n v="7"/>
    <n v="0.09"/>
    <n v="1256.8900000000001"/>
  </r>
  <r>
    <s v="ORD1054"/>
    <x v="34"/>
    <s v="CUST950"/>
    <s v="Amit Sharma"/>
    <x v="1"/>
    <x v="0"/>
    <s v="Maharashtra"/>
    <x v="0"/>
    <x v="0"/>
    <x v="2"/>
    <n v="35561.730000000003"/>
    <n v="8"/>
    <n v="0.06"/>
    <n v="2489.3200000000002"/>
  </r>
  <r>
    <s v="ORD2313"/>
    <x v="34"/>
    <s v="CUST377"/>
    <s v="Amit Sharma"/>
    <x v="2"/>
    <x v="0"/>
    <s v="Maharashtra"/>
    <x v="0"/>
    <x v="2"/>
    <x v="2"/>
    <n v="5555.32"/>
    <n v="5"/>
    <n v="0.02"/>
    <n v="499.98"/>
  </r>
  <r>
    <s v="ORD1274"/>
    <x v="35"/>
    <s v="CUST950"/>
    <s v="Amit Sharma"/>
    <x v="1"/>
    <x v="4"/>
    <s v="Karnataka"/>
    <x v="3"/>
    <x v="1"/>
    <x v="1"/>
    <n v="12773.64"/>
    <n v="4"/>
    <n v="7.0000000000000007E-2"/>
    <n v="830.29"/>
  </r>
  <r>
    <s v="ORD1403"/>
    <x v="35"/>
    <s v="CUST643"/>
    <s v="Neha Singh"/>
    <x v="0"/>
    <x v="5"/>
    <s v="Tamil Nadu"/>
    <x v="1"/>
    <x v="2"/>
    <x v="0"/>
    <n v="31874.91"/>
    <n v="1"/>
    <n v="0.25"/>
    <n v="-796.87"/>
  </r>
  <r>
    <s v="ORD1662"/>
    <x v="35"/>
    <s v="CUST598"/>
    <s v="Sneha Paul"/>
    <x v="1"/>
    <x v="1"/>
    <s v="West Bengal"/>
    <x v="1"/>
    <x v="0"/>
    <x v="6"/>
    <n v="12583.96"/>
    <n v="10"/>
    <n v="0.22"/>
    <n v="-125.84"/>
  </r>
  <r>
    <s v="ORD2320"/>
    <x v="35"/>
    <s v="CUST285"/>
    <s v="Sneha Paul"/>
    <x v="1"/>
    <x v="4"/>
    <s v="Karnataka"/>
    <x v="3"/>
    <x v="2"/>
    <x v="6"/>
    <n v="13701.28"/>
    <n v="3"/>
    <n v="0.01"/>
    <n v="1301.6199999999999"/>
  </r>
  <r>
    <s v="ORD2329"/>
    <x v="35"/>
    <s v="CUST517"/>
    <s v="Ravi Kumar"/>
    <x v="1"/>
    <x v="4"/>
    <s v="Karnataka"/>
    <x v="3"/>
    <x v="0"/>
    <x v="0"/>
    <n v="39972.86"/>
    <n v="1"/>
    <n v="0.06"/>
    <n v="2798.1"/>
  </r>
  <r>
    <s v="ORD2266"/>
    <x v="36"/>
    <s v="CUST291"/>
    <s v="Pooja Verma"/>
    <x v="0"/>
    <x v="2"/>
    <s v="Delhi"/>
    <x v="2"/>
    <x v="2"/>
    <x v="0"/>
    <n v="20727.68"/>
    <n v="2"/>
    <n v="0.23"/>
    <n v="-310.92"/>
  </r>
  <r>
    <s v="ORD1835"/>
    <x v="37"/>
    <s v="CUST971"/>
    <s v="Ravi Kumar"/>
    <x v="2"/>
    <x v="1"/>
    <s v="West Bengal"/>
    <x v="1"/>
    <x v="1"/>
    <x v="1"/>
    <n v="35085.53"/>
    <n v="5"/>
    <n v="0.2"/>
    <n v="0"/>
  </r>
  <r>
    <s v="ORD1906"/>
    <x v="37"/>
    <s v="CUST352"/>
    <s v="Amit Sharma"/>
    <x v="1"/>
    <x v="4"/>
    <s v="Karnataka"/>
    <x v="3"/>
    <x v="1"/>
    <x v="2"/>
    <n v="36375.32"/>
    <n v="9"/>
    <n v="0.03"/>
    <n v="3091.9"/>
  </r>
  <r>
    <s v="ORD1224"/>
    <x v="38"/>
    <s v="CUST751"/>
    <s v="Rahul Das"/>
    <x v="1"/>
    <x v="4"/>
    <s v="Karnataka"/>
    <x v="3"/>
    <x v="2"/>
    <x v="6"/>
    <n v="37775.69"/>
    <n v="2"/>
    <n v="0.08"/>
    <n v="2266.54"/>
  </r>
  <r>
    <s v="ORD1286"/>
    <x v="38"/>
    <s v="CUST535"/>
    <s v="Neha Singh"/>
    <x v="1"/>
    <x v="5"/>
    <s v="Tamil Nadu"/>
    <x v="1"/>
    <x v="2"/>
    <x v="4"/>
    <n v="40816.449999999997"/>
    <n v="2"/>
    <n v="0.09"/>
    <n v="2244.9"/>
  </r>
  <r>
    <s v="ORD1465"/>
    <x v="38"/>
    <s v="CUST635"/>
    <s v="Neha Singh"/>
    <x v="2"/>
    <x v="0"/>
    <s v="Maharashtra"/>
    <x v="0"/>
    <x v="2"/>
    <x v="3"/>
    <n v="42699.08"/>
    <n v="2"/>
    <n v="0.16"/>
    <n v="853.98"/>
  </r>
  <r>
    <s v="ORD2066"/>
    <x v="38"/>
    <s v="CUST791"/>
    <s v="Pooja Verma"/>
    <x v="2"/>
    <x v="4"/>
    <s v="Karnataka"/>
    <x v="3"/>
    <x v="0"/>
    <x v="2"/>
    <n v="10296.66"/>
    <n v="10"/>
    <n v="0"/>
    <n v="1029.67"/>
  </r>
  <r>
    <s v="ORD1158"/>
    <x v="39"/>
    <s v="CUST183"/>
    <s v="Pooja Verma"/>
    <x v="1"/>
    <x v="1"/>
    <s v="West Bengal"/>
    <x v="1"/>
    <x v="1"/>
    <x v="1"/>
    <n v="38096.31"/>
    <n v="4"/>
    <n v="0.12"/>
    <n v="1523.85"/>
  </r>
  <r>
    <s v="ORD1649"/>
    <x v="39"/>
    <s v="CUST896"/>
    <s v="Amit Sharma"/>
    <x v="1"/>
    <x v="5"/>
    <s v="Tamil Nadu"/>
    <x v="1"/>
    <x v="2"/>
    <x v="0"/>
    <n v="8604.8799999999992"/>
    <n v="2"/>
    <n v="0.03"/>
    <n v="731.41"/>
  </r>
  <r>
    <s v="ORD1681"/>
    <x v="39"/>
    <s v="CUST349"/>
    <s v="Rahul Das"/>
    <x v="0"/>
    <x v="4"/>
    <s v="Karnataka"/>
    <x v="3"/>
    <x v="1"/>
    <x v="4"/>
    <n v="11465.54"/>
    <n v="3"/>
    <n v="0.01"/>
    <n v="1089.23"/>
  </r>
  <r>
    <s v="ORD1766"/>
    <x v="39"/>
    <s v="CUST721"/>
    <s v="Amit Sharma"/>
    <x v="1"/>
    <x v="5"/>
    <s v="Tamil Nadu"/>
    <x v="1"/>
    <x v="1"/>
    <x v="4"/>
    <n v="31110.85"/>
    <n v="3"/>
    <n v="0.13"/>
    <n v="1088.8800000000001"/>
  </r>
  <r>
    <s v="ORD1836"/>
    <x v="39"/>
    <s v="CUST117"/>
    <s v="Ravi Kumar"/>
    <x v="0"/>
    <x v="3"/>
    <s v="Telangana"/>
    <x v="2"/>
    <x v="2"/>
    <x v="4"/>
    <n v="14880.97"/>
    <n v="4"/>
    <n v="0.14000000000000001"/>
    <n v="446.43"/>
  </r>
  <r>
    <s v="ORD2001"/>
    <x v="39"/>
    <s v="CUST859"/>
    <s v="Pooja Verma"/>
    <x v="1"/>
    <x v="3"/>
    <s v="Telangana"/>
    <x v="2"/>
    <x v="1"/>
    <x v="3"/>
    <n v="49444.01"/>
    <n v="4"/>
    <n v="0.28000000000000003"/>
    <n v="-1977.76"/>
  </r>
  <r>
    <s v="ORD2164"/>
    <x v="39"/>
    <s v="CUST139"/>
    <s v="Ankit Roy"/>
    <x v="1"/>
    <x v="2"/>
    <s v="Delhi"/>
    <x v="2"/>
    <x v="0"/>
    <x v="2"/>
    <n v="15337.01"/>
    <n v="9"/>
    <n v="7.0000000000000007E-2"/>
    <n v="996.91"/>
  </r>
  <r>
    <s v="ORD2385"/>
    <x v="40"/>
    <s v="CUST684"/>
    <s v="Ankit Roy"/>
    <x v="1"/>
    <x v="1"/>
    <s v="West Bengal"/>
    <x v="1"/>
    <x v="1"/>
    <x v="0"/>
    <n v="40585.39"/>
    <n v="3"/>
    <n v="7.0000000000000007E-2"/>
    <n v="2638.05"/>
  </r>
  <r>
    <s v="ORD2450"/>
    <x v="40"/>
    <s v="CUST380"/>
    <s v="Pooja Verma"/>
    <x v="1"/>
    <x v="3"/>
    <s v="Telangana"/>
    <x v="2"/>
    <x v="0"/>
    <x v="2"/>
    <n v="19563.830000000002"/>
    <n v="2"/>
    <n v="0.09"/>
    <n v="1076.01"/>
  </r>
  <r>
    <s v="ORD1601"/>
    <x v="41"/>
    <s v="CUST374"/>
    <s v="Sneha Paul"/>
    <x v="2"/>
    <x v="0"/>
    <s v="Maharashtra"/>
    <x v="0"/>
    <x v="1"/>
    <x v="6"/>
    <n v="43864.58"/>
    <n v="6"/>
    <n v="0.1"/>
    <n v="2193.23"/>
  </r>
  <r>
    <s v="ORD1655"/>
    <x v="41"/>
    <s v="CUST664"/>
    <s v="Rahul Das"/>
    <x v="2"/>
    <x v="2"/>
    <s v="Delhi"/>
    <x v="2"/>
    <x v="0"/>
    <x v="0"/>
    <n v="5512.57"/>
    <n v="2"/>
    <n v="0.09"/>
    <n v="303.19"/>
  </r>
  <r>
    <s v="ORD1673"/>
    <x v="41"/>
    <s v="CUST709"/>
    <s v="Ravi Kumar"/>
    <x v="1"/>
    <x v="0"/>
    <s v="Maharashtra"/>
    <x v="0"/>
    <x v="2"/>
    <x v="3"/>
    <n v="32441.32"/>
    <n v="1"/>
    <n v="7.0000000000000007E-2"/>
    <n v="2108.69"/>
  </r>
  <r>
    <s v="ORD1998"/>
    <x v="41"/>
    <s v="CUST700"/>
    <s v="Pooja Verma"/>
    <x v="1"/>
    <x v="0"/>
    <s v="Maharashtra"/>
    <x v="0"/>
    <x v="0"/>
    <x v="0"/>
    <n v="31716.29"/>
    <n v="5"/>
    <n v="0.05"/>
    <n v="2378.7199999999998"/>
  </r>
  <r>
    <s v="ORD2064"/>
    <x v="41"/>
    <s v="CUST477"/>
    <s v="Pooja Verma"/>
    <x v="1"/>
    <x v="0"/>
    <s v="Maharashtra"/>
    <x v="0"/>
    <x v="1"/>
    <x v="3"/>
    <n v="18853.36"/>
    <n v="1"/>
    <n v="0.02"/>
    <n v="1696.8"/>
  </r>
  <r>
    <s v="ORD1019"/>
    <x v="42"/>
    <s v="CUST612"/>
    <s v="Pooja Verma"/>
    <x v="2"/>
    <x v="5"/>
    <s v="Tamil Nadu"/>
    <x v="1"/>
    <x v="0"/>
    <x v="4"/>
    <n v="8727.39"/>
    <n v="6"/>
    <n v="0.08"/>
    <n v="523.64"/>
  </r>
  <r>
    <s v="ORD1309"/>
    <x v="42"/>
    <s v="CUST752"/>
    <s v="Rahul Das"/>
    <x v="1"/>
    <x v="2"/>
    <s v="Delhi"/>
    <x v="2"/>
    <x v="1"/>
    <x v="6"/>
    <n v="18231.68"/>
    <n v="8"/>
    <n v="0.23"/>
    <n v="-273.48"/>
  </r>
  <r>
    <s v="ORD1499"/>
    <x v="42"/>
    <s v="CUST839"/>
    <s v="Neha Singh"/>
    <x v="2"/>
    <x v="2"/>
    <s v="Delhi"/>
    <x v="2"/>
    <x v="1"/>
    <x v="3"/>
    <n v="49132.87"/>
    <n v="3"/>
    <n v="0.04"/>
    <n v="3930.63"/>
  </r>
  <r>
    <s v="ORD1988"/>
    <x v="42"/>
    <s v="CUST563"/>
    <s v="Ankit Roy"/>
    <x v="1"/>
    <x v="3"/>
    <s v="Telangana"/>
    <x v="2"/>
    <x v="1"/>
    <x v="5"/>
    <n v="32199.07"/>
    <n v="10"/>
    <n v="0.1"/>
    <n v="1609.95"/>
  </r>
  <r>
    <s v="ORD1177"/>
    <x v="43"/>
    <s v="CUST101"/>
    <s v="Pooja Verma"/>
    <x v="2"/>
    <x v="2"/>
    <s v="Delhi"/>
    <x v="2"/>
    <x v="2"/>
    <x v="0"/>
    <n v="45594.33"/>
    <n v="10"/>
    <n v="0.28000000000000003"/>
    <n v="-1823.77"/>
  </r>
  <r>
    <s v="ORD1549"/>
    <x v="43"/>
    <s v="CUST881"/>
    <s v="Amit Sharma"/>
    <x v="1"/>
    <x v="4"/>
    <s v="Karnataka"/>
    <x v="3"/>
    <x v="0"/>
    <x v="0"/>
    <n v="36295.54"/>
    <n v="9"/>
    <n v="0.12"/>
    <n v="1451.82"/>
  </r>
  <r>
    <s v="ORD2226"/>
    <x v="44"/>
    <s v="CUST612"/>
    <s v="Sneha Paul"/>
    <x v="0"/>
    <x v="3"/>
    <s v="Telangana"/>
    <x v="2"/>
    <x v="1"/>
    <x v="1"/>
    <n v="17001.87"/>
    <n v="3"/>
    <n v="0.18"/>
    <n v="170.02"/>
  </r>
  <r>
    <s v="ORD1176"/>
    <x v="45"/>
    <s v="CUST179"/>
    <s v="Sneha Paul"/>
    <x v="0"/>
    <x v="4"/>
    <s v="Karnataka"/>
    <x v="3"/>
    <x v="0"/>
    <x v="3"/>
    <n v="13978.86"/>
    <n v="8"/>
    <n v="0.12"/>
    <n v="559.15"/>
  </r>
  <r>
    <s v="ORD1720"/>
    <x v="45"/>
    <s v="CUST274"/>
    <s v="Amit Sharma"/>
    <x v="2"/>
    <x v="0"/>
    <s v="Maharashtra"/>
    <x v="0"/>
    <x v="1"/>
    <x v="0"/>
    <n v="11763.93"/>
    <n v="6"/>
    <n v="0.12"/>
    <n v="470.56"/>
  </r>
  <r>
    <s v="ORD2124"/>
    <x v="45"/>
    <s v="CUST338"/>
    <s v="Sneha Paul"/>
    <x v="2"/>
    <x v="3"/>
    <s v="Telangana"/>
    <x v="2"/>
    <x v="0"/>
    <x v="1"/>
    <n v="46121.71"/>
    <n v="2"/>
    <n v="0.02"/>
    <n v="4150.95"/>
  </r>
  <r>
    <s v="ORD1192"/>
    <x v="46"/>
    <s v="CUST420"/>
    <s v="Sneha Paul"/>
    <x v="1"/>
    <x v="4"/>
    <s v="Karnataka"/>
    <x v="3"/>
    <x v="2"/>
    <x v="2"/>
    <n v="25830.54"/>
    <n v="9"/>
    <n v="0.22"/>
    <n v="-258.31"/>
  </r>
  <r>
    <s v="ORD2127"/>
    <x v="46"/>
    <s v="CUST583"/>
    <s v="Amit Sharma"/>
    <x v="1"/>
    <x v="4"/>
    <s v="Karnataka"/>
    <x v="3"/>
    <x v="2"/>
    <x v="4"/>
    <n v="30387.759999999998"/>
    <n v="7"/>
    <n v="0.12"/>
    <n v="1215.51"/>
  </r>
  <r>
    <s v="ORD2211"/>
    <x v="46"/>
    <s v="CUST454"/>
    <s v="Rahul Das"/>
    <x v="2"/>
    <x v="2"/>
    <s v="Delhi"/>
    <x v="2"/>
    <x v="0"/>
    <x v="5"/>
    <n v="31738.14"/>
    <n v="4"/>
    <n v="0.2"/>
    <n v="0"/>
  </r>
  <r>
    <s v="ORD1537"/>
    <x v="47"/>
    <s v="CUST651"/>
    <s v="Pooja Verma"/>
    <x v="1"/>
    <x v="4"/>
    <s v="Karnataka"/>
    <x v="3"/>
    <x v="2"/>
    <x v="5"/>
    <n v="34026.51"/>
    <n v="9"/>
    <n v="0.27"/>
    <n v="-1190.93"/>
  </r>
  <r>
    <s v="ORD1542"/>
    <x v="47"/>
    <s v="CUST153"/>
    <s v="Neha Singh"/>
    <x v="2"/>
    <x v="0"/>
    <s v="Maharashtra"/>
    <x v="0"/>
    <x v="0"/>
    <x v="2"/>
    <n v="19252.73"/>
    <n v="2"/>
    <n v="0.05"/>
    <n v="1443.95"/>
  </r>
  <r>
    <s v="ORD2200"/>
    <x v="47"/>
    <s v="CUST463"/>
    <s v="Sneha Paul"/>
    <x v="2"/>
    <x v="4"/>
    <s v="Karnataka"/>
    <x v="3"/>
    <x v="2"/>
    <x v="5"/>
    <n v="36933.440000000002"/>
    <n v="6"/>
    <n v="0.11"/>
    <n v="1662"/>
  </r>
  <r>
    <s v="ORD1453"/>
    <x v="48"/>
    <s v="CUST881"/>
    <s v="Rahul Das"/>
    <x v="0"/>
    <x v="3"/>
    <s v="Telangana"/>
    <x v="2"/>
    <x v="2"/>
    <x v="0"/>
    <n v="32066.68"/>
    <n v="6"/>
    <n v="0.21"/>
    <n v="-160.33000000000001"/>
  </r>
  <r>
    <s v="ORD1541"/>
    <x v="48"/>
    <s v="CUST276"/>
    <s v="Ravi Kumar"/>
    <x v="2"/>
    <x v="2"/>
    <s v="Delhi"/>
    <x v="2"/>
    <x v="0"/>
    <x v="2"/>
    <n v="2244.27"/>
    <n v="5"/>
    <n v="0.06"/>
    <n v="157.1"/>
  </r>
  <r>
    <s v="ORD1774"/>
    <x v="48"/>
    <s v="CUST877"/>
    <s v="Ravi Kumar"/>
    <x v="1"/>
    <x v="4"/>
    <s v="Karnataka"/>
    <x v="3"/>
    <x v="0"/>
    <x v="2"/>
    <n v="19383.54"/>
    <n v="1"/>
    <n v="0.12"/>
    <n v="775.34"/>
  </r>
  <r>
    <s v="ORD1186"/>
    <x v="49"/>
    <s v="CUST826"/>
    <s v="Rahul Das"/>
    <x v="0"/>
    <x v="5"/>
    <s v="Tamil Nadu"/>
    <x v="1"/>
    <x v="2"/>
    <x v="2"/>
    <n v="25835.4"/>
    <n v="6"/>
    <n v="0.18"/>
    <n v="258.35000000000002"/>
  </r>
  <r>
    <s v="ORD1733"/>
    <x v="49"/>
    <s v="CUST961"/>
    <s v="Pooja Verma"/>
    <x v="2"/>
    <x v="4"/>
    <s v="Karnataka"/>
    <x v="3"/>
    <x v="2"/>
    <x v="3"/>
    <n v="37959.79"/>
    <n v="7"/>
    <n v="0.24"/>
    <n v="-759.2"/>
  </r>
  <r>
    <s v="ORD2493"/>
    <x v="49"/>
    <s v="CUST605"/>
    <s v="Neha Singh"/>
    <x v="0"/>
    <x v="4"/>
    <s v="Karnataka"/>
    <x v="3"/>
    <x v="1"/>
    <x v="0"/>
    <n v="906.5"/>
    <n v="5"/>
    <n v="0.08"/>
    <n v="54.39"/>
  </r>
  <r>
    <s v="ORD1410"/>
    <x v="50"/>
    <s v="CUST305"/>
    <s v="Neha Singh"/>
    <x v="1"/>
    <x v="5"/>
    <s v="Tamil Nadu"/>
    <x v="1"/>
    <x v="1"/>
    <x v="4"/>
    <n v="48879.91"/>
    <n v="3"/>
    <n v="0.2"/>
    <n v="0"/>
  </r>
  <r>
    <s v="ORD1036"/>
    <x v="51"/>
    <s v="CUST360"/>
    <s v="Neha Singh"/>
    <x v="0"/>
    <x v="2"/>
    <s v="Delhi"/>
    <x v="2"/>
    <x v="2"/>
    <x v="4"/>
    <n v="49916.47"/>
    <n v="2"/>
    <n v="0.28999999999999998"/>
    <n v="-2246.2399999999998"/>
  </r>
  <r>
    <s v="ORD1167"/>
    <x v="51"/>
    <s v="CUST486"/>
    <s v="Neha Singh"/>
    <x v="1"/>
    <x v="1"/>
    <s v="West Bengal"/>
    <x v="1"/>
    <x v="0"/>
    <x v="2"/>
    <n v="8188.53"/>
    <n v="10"/>
    <n v="0.1"/>
    <n v="409.43"/>
  </r>
  <r>
    <s v="ORD1444"/>
    <x v="51"/>
    <s v="CUST497"/>
    <s v="Ankit Roy"/>
    <x v="1"/>
    <x v="4"/>
    <s v="Karnataka"/>
    <x v="3"/>
    <x v="0"/>
    <x v="0"/>
    <n v="15536.52"/>
    <n v="5"/>
    <n v="0.23"/>
    <n v="-233.05"/>
  </r>
  <r>
    <s v="ORD1607"/>
    <x v="51"/>
    <s v="CUST784"/>
    <s v="Neha Singh"/>
    <x v="1"/>
    <x v="1"/>
    <s v="West Bengal"/>
    <x v="1"/>
    <x v="1"/>
    <x v="2"/>
    <n v="3251.45"/>
    <n v="10"/>
    <n v="0.14000000000000001"/>
    <n v="97.54"/>
  </r>
  <r>
    <s v="ORD2474"/>
    <x v="51"/>
    <s v="CUST921"/>
    <s v="Ankit Roy"/>
    <x v="0"/>
    <x v="2"/>
    <s v="Delhi"/>
    <x v="2"/>
    <x v="1"/>
    <x v="6"/>
    <n v="29244.89"/>
    <n v="7"/>
    <n v="0.13"/>
    <n v="1023.57"/>
  </r>
  <r>
    <s v="ORD2255"/>
    <x v="52"/>
    <s v="CUST274"/>
    <s v="Ankit Roy"/>
    <x v="0"/>
    <x v="0"/>
    <s v="Maharashtra"/>
    <x v="0"/>
    <x v="1"/>
    <x v="6"/>
    <n v="40405.449999999997"/>
    <n v="5"/>
    <n v="0.16"/>
    <n v="808.11"/>
  </r>
  <r>
    <s v="ORD1387"/>
    <x v="53"/>
    <s v="CUST707"/>
    <s v="Neha Singh"/>
    <x v="2"/>
    <x v="0"/>
    <s v="Maharashtra"/>
    <x v="0"/>
    <x v="2"/>
    <x v="2"/>
    <n v="33118.839999999997"/>
    <n v="6"/>
    <n v="0.22"/>
    <n v="-331.19"/>
  </r>
  <r>
    <s v="ORD1205"/>
    <x v="54"/>
    <s v="CUST990"/>
    <s v="Ravi Kumar"/>
    <x v="2"/>
    <x v="0"/>
    <s v="Maharashtra"/>
    <x v="0"/>
    <x v="2"/>
    <x v="5"/>
    <n v="47361.32"/>
    <n v="1"/>
    <n v="0.22"/>
    <n v="-473.61"/>
  </r>
  <r>
    <s v="ORD1595"/>
    <x v="54"/>
    <s v="CUST818"/>
    <s v="Neha Singh"/>
    <x v="0"/>
    <x v="3"/>
    <s v="Telangana"/>
    <x v="2"/>
    <x v="1"/>
    <x v="2"/>
    <n v="6164.4"/>
    <n v="5"/>
    <n v="0.28999999999999998"/>
    <n v="-277.39999999999998"/>
  </r>
  <r>
    <s v="ORD2384"/>
    <x v="54"/>
    <s v="CUST858"/>
    <s v="Ravi Kumar"/>
    <x v="0"/>
    <x v="0"/>
    <s v="Maharashtra"/>
    <x v="0"/>
    <x v="1"/>
    <x v="1"/>
    <n v="19676.47"/>
    <n v="6"/>
    <n v="0.12"/>
    <n v="787.06"/>
  </r>
  <r>
    <s v="ORD1198"/>
    <x v="55"/>
    <s v="CUST758"/>
    <s v="Sneha Paul"/>
    <x v="2"/>
    <x v="5"/>
    <s v="Tamil Nadu"/>
    <x v="1"/>
    <x v="1"/>
    <x v="2"/>
    <n v="17807.04"/>
    <n v="7"/>
    <n v="0.03"/>
    <n v="1513.6"/>
  </r>
  <r>
    <s v="ORD1428"/>
    <x v="55"/>
    <s v="CUST241"/>
    <s v="Neha Singh"/>
    <x v="2"/>
    <x v="0"/>
    <s v="Maharashtra"/>
    <x v="0"/>
    <x v="1"/>
    <x v="5"/>
    <n v="24028.43"/>
    <n v="2"/>
    <n v="0.28000000000000003"/>
    <n v="-961.14"/>
  </r>
  <r>
    <s v="ORD1493"/>
    <x v="55"/>
    <s v="CUST764"/>
    <s v="Sneha Paul"/>
    <x v="0"/>
    <x v="4"/>
    <s v="Karnataka"/>
    <x v="3"/>
    <x v="1"/>
    <x v="5"/>
    <n v="20425.82"/>
    <n v="7"/>
    <n v="0.09"/>
    <n v="1123.42"/>
  </r>
  <r>
    <s v="ORD2074"/>
    <x v="55"/>
    <s v="CUST221"/>
    <s v="Sneha Paul"/>
    <x v="2"/>
    <x v="5"/>
    <s v="Tamil Nadu"/>
    <x v="1"/>
    <x v="1"/>
    <x v="4"/>
    <n v="40928.910000000003"/>
    <n v="6"/>
    <n v="0.11"/>
    <n v="1841.8"/>
  </r>
  <r>
    <s v="ORD1306"/>
    <x v="56"/>
    <s v="CUST108"/>
    <s v="Amit Sharma"/>
    <x v="0"/>
    <x v="1"/>
    <s v="West Bengal"/>
    <x v="1"/>
    <x v="1"/>
    <x v="2"/>
    <n v="5110.0600000000004"/>
    <n v="3"/>
    <n v="0.24"/>
    <n v="-102.2"/>
  </r>
  <r>
    <s v="ORD1872"/>
    <x v="56"/>
    <s v="CUST557"/>
    <s v="Pooja Verma"/>
    <x v="1"/>
    <x v="5"/>
    <s v="Tamil Nadu"/>
    <x v="1"/>
    <x v="1"/>
    <x v="3"/>
    <n v="44395.199999999997"/>
    <n v="10"/>
    <n v="0.14000000000000001"/>
    <n v="1331.86"/>
  </r>
  <r>
    <s v="ORD1966"/>
    <x v="56"/>
    <s v="CUST970"/>
    <s v="Ankit Roy"/>
    <x v="0"/>
    <x v="4"/>
    <s v="Karnataka"/>
    <x v="3"/>
    <x v="2"/>
    <x v="6"/>
    <n v="45141.41"/>
    <n v="1"/>
    <n v="0.22"/>
    <n v="-451.41"/>
  </r>
  <r>
    <s v="ORD2236"/>
    <x v="56"/>
    <s v="CUST781"/>
    <s v="Rahul Das"/>
    <x v="2"/>
    <x v="3"/>
    <s v="Telangana"/>
    <x v="2"/>
    <x v="0"/>
    <x v="5"/>
    <n v="47162.59"/>
    <n v="3"/>
    <n v="0.16"/>
    <n v="943.25"/>
  </r>
  <r>
    <s v="ORD1100"/>
    <x v="57"/>
    <s v="CUST520"/>
    <s v="Sneha Paul"/>
    <x v="0"/>
    <x v="0"/>
    <s v="Maharashtra"/>
    <x v="0"/>
    <x v="1"/>
    <x v="1"/>
    <n v="1600.96"/>
    <n v="5"/>
    <n v="0.09"/>
    <n v="88.05"/>
  </r>
  <r>
    <s v="ORD1295"/>
    <x v="57"/>
    <s v="CUST686"/>
    <s v="Ankit Roy"/>
    <x v="1"/>
    <x v="4"/>
    <s v="Karnataka"/>
    <x v="3"/>
    <x v="2"/>
    <x v="5"/>
    <n v="4059.15"/>
    <n v="10"/>
    <n v="0.03"/>
    <n v="345.03"/>
  </r>
  <r>
    <s v="ORD1759"/>
    <x v="57"/>
    <s v="CUST678"/>
    <s v="Ankit Roy"/>
    <x v="2"/>
    <x v="2"/>
    <s v="Delhi"/>
    <x v="2"/>
    <x v="1"/>
    <x v="5"/>
    <n v="917.38"/>
    <n v="4"/>
    <n v="0.02"/>
    <n v="82.56"/>
  </r>
  <r>
    <s v="ORD2472"/>
    <x v="57"/>
    <s v="CUST669"/>
    <s v="Ankit Roy"/>
    <x v="2"/>
    <x v="1"/>
    <s v="West Bengal"/>
    <x v="1"/>
    <x v="1"/>
    <x v="6"/>
    <n v="26913.97"/>
    <n v="7"/>
    <n v="0.23"/>
    <n v="-403.71"/>
  </r>
  <r>
    <s v="ORD1089"/>
    <x v="58"/>
    <s v="CUST972"/>
    <s v="Rahul Das"/>
    <x v="1"/>
    <x v="0"/>
    <s v="Maharashtra"/>
    <x v="0"/>
    <x v="1"/>
    <x v="6"/>
    <n v="40159.629999999997"/>
    <n v="1"/>
    <n v="0.18"/>
    <n v="401.6"/>
  </r>
  <r>
    <s v="ORD1597"/>
    <x v="58"/>
    <s v="CUST885"/>
    <s v="Amit Sharma"/>
    <x v="2"/>
    <x v="1"/>
    <s v="West Bengal"/>
    <x v="1"/>
    <x v="2"/>
    <x v="6"/>
    <n v="11487.88"/>
    <n v="6"/>
    <n v="0.05"/>
    <n v="861.59"/>
  </r>
  <r>
    <s v="ORD1355"/>
    <x v="59"/>
    <s v="CUST768"/>
    <s v="Amit Sharma"/>
    <x v="2"/>
    <x v="3"/>
    <s v="Telangana"/>
    <x v="2"/>
    <x v="1"/>
    <x v="2"/>
    <n v="14524.31"/>
    <n v="2"/>
    <n v="0.15"/>
    <n v="363.11"/>
  </r>
  <r>
    <s v="ORD1554"/>
    <x v="59"/>
    <s v="CUST448"/>
    <s v="Sneha Paul"/>
    <x v="0"/>
    <x v="2"/>
    <s v="Delhi"/>
    <x v="2"/>
    <x v="2"/>
    <x v="1"/>
    <n v="5731.22"/>
    <n v="10"/>
    <n v="0.3"/>
    <n v="-286.56"/>
  </r>
  <r>
    <s v="ORD2110"/>
    <x v="59"/>
    <s v="CUST261"/>
    <s v="Sneha Paul"/>
    <x v="1"/>
    <x v="4"/>
    <s v="Karnataka"/>
    <x v="3"/>
    <x v="2"/>
    <x v="3"/>
    <n v="30450.33"/>
    <n v="10"/>
    <n v="0.25"/>
    <n v="-761.26"/>
  </r>
  <r>
    <s v="ORD1632"/>
    <x v="60"/>
    <s v="CUST568"/>
    <s v="Ankit Roy"/>
    <x v="2"/>
    <x v="5"/>
    <s v="Tamil Nadu"/>
    <x v="1"/>
    <x v="1"/>
    <x v="0"/>
    <n v="16869.62"/>
    <n v="7"/>
    <n v="0.3"/>
    <n v="-843.48"/>
  </r>
  <r>
    <s v="ORD2067"/>
    <x v="60"/>
    <s v="CUST785"/>
    <s v="Ravi Kumar"/>
    <x v="0"/>
    <x v="0"/>
    <s v="Maharashtra"/>
    <x v="0"/>
    <x v="0"/>
    <x v="5"/>
    <n v="40325.449999999997"/>
    <n v="10"/>
    <n v="0.03"/>
    <n v="3427.66"/>
  </r>
  <r>
    <s v="ORD2335"/>
    <x v="60"/>
    <s v="CUST622"/>
    <s v="Ravi Kumar"/>
    <x v="0"/>
    <x v="2"/>
    <s v="Delhi"/>
    <x v="2"/>
    <x v="1"/>
    <x v="3"/>
    <n v="25373.91"/>
    <n v="8"/>
    <n v="0.08"/>
    <n v="1522.43"/>
  </r>
  <r>
    <s v="ORD1302"/>
    <x v="61"/>
    <s v="CUST934"/>
    <s v="Amit Sharma"/>
    <x v="2"/>
    <x v="5"/>
    <s v="Tamil Nadu"/>
    <x v="1"/>
    <x v="0"/>
    <x v="6"/>
    <n v="28936.79"/>
    <n v="10"/>
    <n v="0.25"/>
    <n v="-723.42"/>
  </r>
  <r>
    <s v="ORD1066"/>
    <x v="62"/>
    <s v="CUST875"/>
    <s v="Ravi Kumar"/>
    <x v="0"/>
    <x v="1"/>
    <s v="West Bengal"/>
    <x v="1"/>
    <x v="1"/>
    <x v="4"/>
    <n v="8219.48"/>
    <n v="3"/>
    <n v="0.02"/>
    <n v="739.75"/>
  </r>
  <r>
    <s v="ORD1718"/>
    <x v="62"/>
    <s v="CUST985"/>
    <s v="Ravi Kumar"/>
    <x v="2"/>
    <x v="1"/>
    <s v="West Bengal"/>
    <x v="1"/>
    <x v="1"/>
    <x v="5"/>
    <n v="9767.7099999999991"/>
    <n v="9"/>
    <n v="0.16"/>
    <n v="195.35"/>
  </r>
  <r>
    <s v="ORD1800"/>
    <x v="62"/>
    <s v="CUST399"/>
    <s v="Pooja Verma"/>
    <x v="1"/>
    <x v="0"/>
    <s v="Maharashtra"/>
    <x v="0"/>
    <x v="0"/>
    <x v="6"/>
    <n v="17445.349999999999"/>
    <n v="10"/>
    <n v="0.2"/>
    <n v="0"/>
  </r>
  <r>
    <s v="ORD1808"/>
    <x v="62"/>
    <s v="CUST342"/>
    <s v="Sneha Paul"/>
    <x v="0"/>
    <x v="3"/>
    <s v="Telangana"/>
    <x v="2"/>
    <x v="1"/>
    <x v="0"/>
    <n v="36358.480000000003"/>
    <n v="5"/>
    <n v="0.05"/>
    <n v="2726.89"/>
  </r>
  <r>
    <s v="ORD1240"/>
    <x v="63"/>
    <s v="CUST635"/>
    <s v="Ravi Kumar"/>
    <x v="2"/>
    <x v="2"/>
    <s v="Delhi"/>
    <x v="2"/>
    <x v="2"/>
    <x v="6"/>
    <n v="39587.800000000003"/>
    <n v="2"/>
    <n v="0.18"/>
    <n v="395.88"/>
  </r>
  <r>
    <s v="ORD1395"/>
    <x v="63"/>
    <s v="CUST508"/>
    <s v="Ankit Roy"/>
    <x v="0"/>
    <x v="5"/>
    <s v="Tamil Nadu"/>
    <x v="1"/>
    <x v="2"/>
    <x v="0"/>
    <n v="45738.45"/>
    <n v="6"/>
    <n v="0.09"/>
    <n v="2515.61"/>
  </r>
  <r>
    <s v="ORD1962"/>
    <x v="63"/>
    <s v="CUST962"/>
    <s v="Ravi Kumar"/>
    <x v="0"/>
    <x v="2"/>
    <s v="Delhi"/>
    <x v="2"/>
    <x v="1"/>
    <x v="3"/>
    <n v="20132.21"/>
    <n v="2"/>
    <n v="0.24"/>
    <n v="-402.64"/>
  </r>
  <r>
    <s v="ORD2000"/>
    <x v="63"/>
    <s v="CUST908"/>
    <s v="Rahul Das"/>
    <x v="0"/>
    <x v="0"/>
    <s v="Maharashtra"/>
    <x v="0"/>
    <x v="1"/>
    <x v="4"/>
    <n v="20170.150000000001"/>
    <n v="2"/>
    <n v="0.22"/>
    <n v="-201.7"/>
  </r>
  <r>
    <s v="ORD2279"/>
    <x v="63"/>
    <s v="CUST371"/>
    <s v="Ravi Kumar"/>
    <x v="0"/>
    <x v="4"/>
    <s v="Karnataka"/>
    <x v="3"/>
    <x v="0"/>
    <x v="2"/>
    <n v="14165.97"/>
    <n v="1"/>
    <n v="0.03"/>
    <n v="1204.1099999999999"/>
  </r>
  <r>
    <s v="ORD2327"/>
    <x v="63"/>
    <s v="CUST547"/>
    <s v="Pooja Verma"/>
    <x v="2"/>
    <x v="3"/>
    <s v="Telangana"/>
    <x v="2"/>
    <x v="0"/>
    <x v="3"/>
    <n v="6181.92"/>
    <n v="6"/>
    <n v="0.02"/>
    <n v="556.37"/>
  </r>
  <r>
    <s v="ORD1053"/>
    <x v="64"/>
    <s v="CUST450"/>
    <s v="Amit Sharma"/>
    <x v="1"/>
    <x v="1"/>
    <s v="West Bengal"/>
    <x v="1"/>
    <x v="2"/>
    <x v="5"/>
    <n v="43596.93"/>
    <n v="9"/>
    <n v="0.25"/>
    <n v="-1089.92"/>
  </r>
  <r>
    <s v="ORD1254"/>
    <x v="64"/>
    <s v="CUST354"/>
    <s v="Rahul Das"/>
    <x v="2"/>
    <x v="4"/>
    <s v="Karnataka"/>
    <x v="3"/>
    <x v="2"/>
    <x v="4"/>
    <n v="48562.29"/>
    <n v="10"/>
    <n v="0.14000000000000001"/>
    <n v="1456.87"/>
  </r>
  <r>
    <s v="ORD2165"/>
    <x v="64"/>
    <s v="CUST740"/>
    <s v="Amit Sharma"/>
    <x v="2"/>
    <x v="3"/>
    <s v="Telangana"/>
    <x v="2"/>
    <x v="0"/>
    <x v="2"/>
    <n v="9733.1200000000008"/>
    <n v="1"/>
    <n v="0.1"/>
    <n v="486.66"/>
  </r>
  <r>
    <s v="ORD2219"/>
    <x v="64"/>
    <s v="CUST177"/>
    <s v="Neha Singh"/>
    <x v="1"/>
    <x v="3"/>
    <s v="Telangana"/>
    <x v="2"/>
    <x v="2"/>
    <x v="0"/>
    <n v="19606.13"/>
    <n v="8"/>
    <n v="0.01"/>
    <n v="1862.58"/>
  </r>
  <r>
    <s v="ORD1299"/>
    <x v="65"/>
    <s v="CUST619"/>
    <s v="Ankit Roy"/>
    <x v="0"/>
    <x v="0"/>
    <s v="Maharashtra"/>
    <x v="0"/>
    <x v="0"/>
    <x v="2"/>
    <n v="18474.32"/>
    <n v="10"/>
    <n v="0.28000000000000003"/>
    <n v="-738.97"/>
  </r>
  <r>
    <s v="ORD1479"/>
    <x v="65"/>
    <s v="CUST598"/>
    <s v="Rahul Das"/>
    <x v="1"/>
    <x v="5"/>
    <s v="Tamil Nadu"/>
    <x v="1"/>
    <x v="0"/>
    <x v="0"/>
    <n v="24967.22"/>
    <n v="5"/>
    <n v="0.09"/>
    <n v="1373.2"/>
  </r>
  <r>
    <s v="ORD2094"/>
    <x v="65"/>
    <s v="CUST129"/>
    <s v="Ravi Kumar"/>
    <x v="2"/>
    <x v="0"/>
    <s v="Maharashtra"/>
    <x v="0"/>
    <x v="2"/>
    <x v="5"/>
    <n v="36505.65"/>
    <n v="9"/>
    <n v="0.22"/>
    <n v="-365.06"/>
  </r>
  <r>
    <s v="ORD2273"/>
    <x v="65"/>
    <s v="CUST541"/>
    <s v="Neha Singh"/>
    <x v="1"/>
    <x v="5"/>
    <s v="Tamil Nadu"/>
    <x v="1"/>
    <x v="0"/>
    <x v="1"/>
    <n v="33050.160000000003"/>
    <n v="5"/>
    <n v="0.17"/>
    <n v="495.75"/>
  </r>
  <r>
    <s v="ORD1246"/>
    <x v="66"/>
    <s v="CUST635"/>
    <s v="Pooja Verma"/>
    <x v="1"/>
    <x v="3"/>
    <s v="Telangana"/>
    <x v="2"/>
    <x v="0"/>
    <x v="0"/>
    <n v="18846.28"/>
    <n v="9"/>
    <n v="0.22"/>
    <n v="-188.46"/>
  </r>
  <r>
    <s v="ORD2492"/>
    <x v="66"/>
    <s v="CUST424"/>
    <s v="Neha Singh"/>
    <x v="2"/>
    <x v="1"/>
    <s v="West Bengal"/>
    <x v="1"/>
    <x v="1"/>
    <x v="1"/>
    <n v="34111.279999999999"/>
    <n v="3"/>
    <n v="0.21"/>
    <n v="-170.56"/>
  </r>
  <r>
    <s v="ORD1381"/>
    <x v="67"/>
    <s v="CUST233"/>
    <s v="Neha Singh"/>
    <x v="0"/>
    <x v="0"/>
    <s v="Maharashtra"/>
    <x v="0"/>
    <x v="2"/>
    <x v="4"/>
    <n v="18288.580000000002"/>
    <n v="9"/>
    <n v="0.09"/>
    <n v="1005.87"/>
  </r>
  <r>
    <s v="ORD1380"/>
    <x v="68"/>
    <s v="CUST106"/>
    <s v="Ravi Kumar"/>
    <x v="0"/>
    <x v="5"/>
    <s v="Tamil Nadu"/>
    <x v="1"/>
    <x v="0"/>
    <x v="0"/>
    <n v="31435.71"/>
    <n v="6"/>
    <n v="0.28000000000000003"/>
    <n v="-1257.43"/>
  </r>
  <r>
    <s v="ORD1753"/>
    <x v="69"/>
    <s v="CUST863"/>
    <s v="Pooja Verma"/>
    <x v="0"/>
    <x v="0"/>
    <s v="Maharashtra"/>
    <x v="0"/>
    <x v="2"/>
    <x v="4"/>
    <n v="18496.37"/>
    <n v="6"/>
    <n v="0.23"/>
    <n v="-277.45"/>
  </r>
  <r>
    <s v="ORD2241"/>
    <x v="69"/>
    <s v="CUST170"/>
    <s v="Ravi Kumar"/>
    <x v="1"/>
    <x v="0"/>
    <s v="Maharashtra"/>
    <x v="0"/>
    <x v="2"/>
    <x v="5"/>
    <n v="42799.26"/>
    <n v="8"/>
    <n v="0.02"/>
    <n v="3851.93"/>
  </r>
  <r>
    <s v="ORD2426"/>
    <x v="69"/>
    <s v="CUST287"/>
    <s v="Ankit Roy"/>
    <x v="0"/>
    <x v="1"/>
    <s v="West Bengal"/>
    <x v="1"/>
    <x v="1"/>
    <x v="2"/>
    <n v="16077.7"/>
    <n v="7"/>
    <n v="0.01"/>
    <n v="1527.38"/>
  </r>
  <r>
    <s v="ORD1546"/>
    <x v="70"/>
    <s v="CUST575"/>
    <s v="Rahul Das"/>
    <x v="2"/>
    <x v="0"/>
    <s v="Maharashtra"/>
    <x v="0"/>
    <x v="0"/>
    <x v="1"/>
    <n v="5642.6"/>
    <n v="2"/>
    <n v="0.21"/>
    <n v="-28.21"/>
  </r>
  <r>
    <s v="ORD1408"/>
    <x v="71"/>
    <s v="CUST378"/>
    <s v="Ravi Kumar"/>
    <x v="0"/>
    <x v="2"/>
    <s v="Delhi"/>
    <x v="2"/>
    <x v="1"/>
    <x v="3"/>
    <n v="10933.01"/>
    <n v="8"/>
    <n v="0.27"/>
    <n v="-382.66"/>
  </r>
  <r>
    <s v="ORD1580"/>
    <x v="71"/>
    <s v="CUST453"/>
    <s v="Ravi Kumar"/>
    <x v="2"/>
    <x v="5"/>
    <s v="Tamil Nadu"/>
    <x v="1"/>
    <x v="0"/>
    <x v="3"/>
    <n v="19278.95"/>
    <n v="7"/>
    <n v="0.26"/>
    <n v="-578.37"/>
  </r>
  <r>
    <s v="ORD1938"/>
    <x v="71"/>
    <s v="CUST796"/>
    <s v="Neha Singh"/>
    <x v="2"/>
    <x v="4"/>
    <s v="Karnataka"/>
    <x v="3"/>
    <x v="1"/>
    <x v="1"/>
    <n v="42181.85"/>
    <n v="1"/>
    <n v="0.01"/>
    <n v="4007.28"/>
  </r>
  <r>
    <s v="ORD1015"/>
    <x v="72"/>
    <s v="CUST617"/>
    <s v="Rahul Das"/>
    <x v="0"/>
    <x v="4"/>
    <s v="Karnataka"/>
    <x v="3"/>
    <x v="1"/>
    <x v="5"/>
    <n v="21857.25"/>
    <n v="8"/>
    <n v="0.05"/>
    <n v="1639.29"/>
  </r>
  <r>
    <s v="ORD1627"/>
    <x v="72"/>
    <s v="CUST771"/>
    <s v="Neha Singh"/>
    <x v="0"/>
    <x v="2"/>
    <s v="Delhi"/>
    <x v="2"/>
    <x v="1"/>
    <x v="4"/>
    <n v="23279.39"/>
    <n v="5"/>
    <n v="0"/>
    <n v="2327.94"/>
  </r>
  <r>
    <s v="ORD1729"/>
    <x v="72"/>
    <s v="CUST152"/>
    <s v="Ravi Kumar"/>
    <x v="0"/>
    <x v="2"/>
    <s v="Delhi"/>
    <x v="2"/>
    <x v="0"/>
    <x v="4"/>
    <n v="24178.73"/>
    <n v="1"/>
    <n v="0.02"/>
    <n v="2176.09"/>
  </r>
  <r>
    <s v="ORD1752"/>
    <x v="73"/>
    <s v="CUST416"/>
    <s v="Neha Singh"/>
    <x v="0"/>
    <x v="4"/>
    <s v="Karnataka"/>
    <x v="3"/>
    <x v="0"/>
    <x v="4"/>
    <n v="41939.25"/>
    <n v="7"/>
    <n v="0.3"/>
    <n v="-2096.96"/>
  </r>
  <r>
    <s v="ORD2223"/>
    <x v="73"/>
    <s v="CUST821"/>
    <s v="Rahul Das"/>
    <x v="1"/>
    <x v="4"/>
    <s v="Karnataka"/>
    <x v="3"/>
    <x v="1"/>
    <x v="5"/>
    <n v="735.2"/>
    <n v="9"/>
    <n v="0.02"/>
    <n v="66.17"/>
  </r>
  <r>
    <s v="ORD2354"/>
    <x v="73"/>
    <s v="CUST884"/>
    <s v="Rahul Das"/>
    <x v="1"/>
    <x v="0"/>
    <s v="Maharashtra"/>
    <x v="0"/>
    <x v="2"/>
    <x v="3"/>
    <n v="4870.32"/>
    <n v="8"/>
    <n v="0.01"/>
    <n v="462.68"/>
  </r>
  <r>
    <s v="ORD1146"/>
    <x v="74"/>
    <s v="CUST175"/>
    <s v="Rahul Das"/>
    <x v="2"/>
    <x v="0"/>
    <s v="Maharashtra"/>
    <x v="0"/>
    <x v="0"/>
    <x v="2"/>
    <n v="17593.2"/>
    <n v="2"/>
    <n v="0.16"/>
    <n v="351.86"/>
  </r>
  <r>
    <s v="ORD1480"/>
    <x v="74"/>
    <s v="CUST323"/>
    <s v="Pooja Verma"/>
    <x v="2"/>
    <x v="2"/>
    <s v="Delhi"/>
    <x v="2"/>
    <x v="1"/>
    <x v="4"/>
    <n v="26630.02"/>
    <n v="3"/>
    <n v="0.1"/>
    <n v="1331.5"/>
  </r>
  <r>
    <s v="ORD1760"/>
    <x v="74"/>
    <s v="CUST398"/>
    <s v="Rahul Das"/>
    <x v="0"/>
    <x v="5"/>
    <s v="Tamil Nadu"/>
    <x v="1"/>
    <x v="2"/>
    <x v="0"/>
    <n v="23481.62"/>
    <n v="5"/>
    <n v="0.04"/>
    <n v="1878.53"/>
  </r>
  <r>
    <s v="ORD2102"/>
    <x v="74"/>
    <s v="CUST107"/>
    <s v="Ravi Kumar"/>
    <x v="2"/>
    <x v="5"/>
    <s v="Tamil Nadu"/>
    <x v="1"/>
    <x v="2"/>
    <x v="2"/>
    <n v="49395.519999999997"/>
    <n v="1"/>
    <n v="0.22"/>
    <n v="-493.96"/>
  </r>
  <r>
    <s v="ORD1210"/>
    <x v="75"/>
    <s v="CUST266"/>
    <s v="Ravi Kumar"/>
    <x v="1"/>
    <x v="1"/>
    <s v="West Bengal"/>
    <x v="1"/>
    <x v="0"/>
    <x v="2"/>
    <n v="7811.21"/>
    <n v="4"/>
    <n v="0.14000000000000001"/>
    <n v="234.34"/>
  </r>
  <r>
    <s v="ORD1654"/>
    <x v="75"/>
    <s v="CUST879"/>
    <s v="Pooja Verma"/>
    <x v="2"/>
    <x v="0"/>
    <s v="Maharashtra"/>
    <x v="0"/>
    <x v="2"/>
    <x v="6"/>
    <n v="14778.73"/>
    <n v="9"/>
    <n v="0.21"/>
    <n v="-73.89"/>
  </r>
  <r>
    <s v="ORD2166"/>
    <x v="75"/>
    <s v="CUST829"/>
    <s v="Ankit Roy"/>
    <x v="0"/>
    <x v="5"/>
    <s v="Tamil Nadu"/>
    <x v="1"/>
    <x v="0"/>
    <x v="1"/>
    <n v="35936.36"/>
    <n v="1"/>
    <n v="0.11"/>
    <n v="1617.14"/>
  </r>
  <r>
    <s v="ORD2056"/>
    <x v="76"/>
    <s v="CUST873"/>
    <s v="Pooja Verma"/>
    <x v="1"/>
    <x v="3"/>
    <s v="Telangana"/>
    <x v="2"/>
    <x v="2"/>
    <x v="5"/>
    <n v="763.92"/>
    <n v="5"/>
    <n v="0.02"/>
    <n v="68.75"/>
  </r>
  <r>
    <s v="ORD2144"/>
    <x v="76"/>
    <s v="CUST337"/>
    <s v="Ankit Roy"/>
    <x v="1"/>
    <x v="5"/>
    <s v="Tamil Nadu"/>
    <x v="1"/>
    <x v="2"/>
    <x v="1"/>
    <n v="30237.41"/>
    <n v="3"/>
    <n v="0.19"/>
    <n v="151.19"/>
  </r>
  <r>
    <s v="ORD2302"/>
    <x v="76"/>
    <s v="CUST573"/>
    <s v="Amit Sharma"/>
    <x v="0"/>
    <x v="2"/>
    <s v="Delhi"/>
    <x v="2"/>
    <x v="1"/>
    <x v="2"/>
    <n v="20931.79"/>
    <n v="4"/>
    <n v="0.28999999999999998"/>
    <n v="-941.93"/>
  </r>
  <r>
    <s v="ORD1817"/>
    <x v="77"/>
    <s v="CUST906"/>
    <s v="Ravi Kumar"/>
    <x v="0"/>
    <x v="5"/>
    <s v="Tamil Nadu"/>
    <x v="1"/>
    <x v="1"/>
    <x v="3"/>
    <n v="25276.240000000002"/>
    <n v="9"/>
    <n v="0.06"/>
    <n v="1769.34"/>
  </r>
  <r>
    <s v="ORD2151"/>
    <x v="77"/>
    <s v="CUST286"/>
    <s v="Sneha Paul"/>
    <x v="2"/>
    <x v="3"/>
    <s v="Telangana"/>
    <x v="2"/>
    <x v="0"/>
    <x v="2"/>
    <n v="10762.71"/>
    <n v="8"/>
    <n v="0.1"/>
    <n v="538.14"/>
  </r>
  <r>
    <s v="ORD1668"/>
    <x v="78"/>
    <s v="CUST447"/>
    <s v="Ravi Kumar"/>
    <x v="0"/>
    <x v="3"/>
    <s v="Telangana"/>
    <x v="2"/>
    <x v="1"/>
    <x v="3"/>
    <n v="27776.61"/>
    <n v="8"/>
    <n v="0.11"/>
    <n v="1249.95"/>
  </r>
  <r>
    <s v="ORD2016"/>
    <x v="78"/>
    <s v="CUST583"/>
    <s v="Amit Sharma"/>
    <x v="2"/>
    <x v="2"/>
    <s v="Delhi"/>
    <x v="2"/>
    <x v="1"/>
    <x v="6"/>
    <n v="24943.79"/>
    <n v="4"/>
    <n v="0.01"/>
    <n v="2369.66"/>
  </r>
  <r>
    <s v="ORD2046"/>
    <x v="78"/>
    <s v="CUST298"/>
    <s v="Ankit Roy"/>
    <x v="0"/>
    <x v="4"/>
    <s v="Karnataka"/>
    <x v="3"/>
    <x v="0"/>
    <x v="1"/>
    <n v="47980.26"/>
    <n v="3"/>
    <n v="0.08"/>
    <n v="2878.82"/>
  </r>
  <r>
    <s v="ORD1039"/>
    <x v="79"/>
    <s v="CUST825"/>
    <s v="Amit Sharma"/>
    <x v="1"/>
    <x v="5"/>
    <s v="Tamil Nadu"/>
    <x v="1"/>
    <x v="2"/>
    <x v="2"/>
    <n v="20759.18"/>
    <n v="6"/>
    <n v="0.13"/>
    <n v="726.57"/>
  </r>
  <r>
    <s v="ORD1228"/>
    <x v="79"/>
    <s v="CUST169"/>
    <s v="Amit Sharma"/>
    <x v="2"/>
    <x v="2"/>
    <s v="Delhi"/>
    <x v="2"/>
    <x v="1"/>
    <x v="2"/>
    <n v="14358.26"/>
    <n v="7"/>
    <n v="0.01"/>
    <n v="1364.03"/>
  </r>
  <r>
    <s v="ORD1273"/>
    <x v="79"/>
    <s v="CUST500"/>
    <s v="Neha Singh"/>
    <x v="0"/>
    <x v="4"/>
    <s v="Karnataka"/>
    <x v="3"/>
    <x v="2"/>
    <x v="4"/>
    <n v="41087.85"/>
    <n v="8"/>
    <n v="0.03"/>
    <n v="3492.47"/>
  </r>
  <r>
    <s v="ORD1738"/>
    <x v="80"/>
    <s v="CUST777"/>
    <s v="Amit Sharma"/>
    <x v="2"/>
    <x v="3"/>
    <s v="Telangana"/>
    <x v="2"/>
    <x v="2"/>
    <x v="3"/>
    <n v="31505.7"/>
    <n v="5"/>
    <n v="7.0000000000000007E-2"/>
    <n v="2047.87"/>
  </r>
  <r>
    <s v="ORD1482"/>
    <x v="81"/>
    <s v="CUST907"/>
    <s v="Ankit Roy"/>
    <x v="2"/>
    <x v="4"/>
    <s v="Karnataka"/>
    <x v="3"/>
    <x v="2"/>
    <x v="6"/>
    <n v="23776.01"/>
    <n v="6"/>
    <n v="0.15"/>
    <n v="594.4"/>
  </r>
  <r>
    <s v="ORD2453"/>
    <x v="81"/>
    <s v="CUST787"/>
    <s v="Rahul Das"/>
    <x v="1"/>
    <x v="0"/>
    <s v="Maharashtra"/>
    <x v="0"/>
    <x v="2"/>
    <x v="3"/>
    <n v="5614.29"/>
    <n v="3"/>
    <n v="0.19"/>
    <n v="28.07"/>
  </r>
  <r>
    <s v="ORD1087"/>
    <x v="82"/>
    <s v="CUST160"/>
    <s v="Pooja Verma"/>
    <x v="2"/>
    <x v="1"/>
    <s v="West Bengal"/>
    <x v="1"/>
    <x v="1"/>
    <x v="2"/>
    <n v="28174.34"/>
    <n v="2"/>
    <n v="0.28000000000000003"/>
    <n v="-1126.97"/>
  </r>
  <r>
    <s v="ORD1859"/>
    <x v="82"/>
    <s v="CUST570"/>
    <s v="Amit Sharma"/>
    <x v="0"/>
    <x v="0"/>
    <s v="Maharashtra"/>
    <x v="0"/>
    <x v="1"/>
    <x v="1"/>
    <n v="10918.33"/>
    <n v="5"/>
    <n v="0.17"/>
    <n v="163.77000000000001"/>
  </r>
  <r>
    <s v="ORD1442"/>
    <x v="83"/>
    <s v="CUST615"/>
    <s v="Sneha Paul"/>
    <x v="2"/>
    <x v="0"/>
    <s v="Maharashtra"/>
    <x v="0"/>
    <x v="1"/>
    <x v="4"/>
    <n v="10902.53"/>
    <n v="10"/>
    <n v="0.02"/>
    <n v="981.23"/>
  </r>
  <r>
    <s v="ORD1044"/>
    <x v="84"/>
    <s v="CUST593"/>
    <s v="Rahul Das"/>
    <x v="0"/>
    <x v="3"/>
    <s v="Telangana"/>
    <x v="2"/>
    <x v="2"/>
    <x v="0"/>
    <n v="38462.79"/>
    <n v="3"/>
    <n v="7.0000000000000007E-2"/>
    <n v="2500.08"/>
  </r>
  <r>
    <s v="ORD1328"/>
    <x v="84"/>
    <s v="CUST912"/>
    <s v="Amit Sharma"/>
    <x v="0"/>
    <x v="4"/>
    <s v="Karnataka"/>
    <x v="3"/>
    <x v="2"/>
    <x v="5"/>
    <n v="6505.1"/>
    <n v="8"/>
    <n v="0.09"/>
    <n v="357.78"/>
  </r>
  <r>
    <s v="ORD1568"/>
    <x v="84"/>
    <s v="CUST688"/>
    <s v="Rahul Das"/>
    <x v="0"/>
    <x v="3"/>
    <s v="Telangana"/>
    <x v="2"/>
    <x v="0"/>
    <x v="2"/>
    <n v="31697.42"/>
    <n v="7"/>
    <n v="0.04"/>
    <n v="2535.79"/>
  </r>
  <r>
    <s v="ORD1723"/>
    <x v="85"/>
    <s v="CUST370"/>
    <s v="Rahul Das"/>
    <x v="2"/>
    <x v="0"/>
    <s v="Maharashtra"/>
    <x v="0"/>
    <x v="0"/>
    <x v="0"/>
    <n v="22413.360000000001"/>
    <n v="9"/>
    <n v="0.11"/>
    <n v="1008.6"/>
  </r>
  <r>
    <s v="ORD1045"/>
    <x v="86"/>
    <s v="CUST741"/>
    <s v="Ankit Roy"/>
    <x v="1"/>
    <x v="4"/>
    <s v="Karnataka"/>
    <x v="3"/>
    <x v="1"/>
    <x v="2"/>
    <n v="39723.730000000003"/>
    <n v="1"/>
    <n v="0.11"/>
    <n v="1787.57"/>
  </r>
  <r>
    <s v="ORD1080"/>
    <x v="86"/>
    <s v="CUST659"/>
    <s v="Amit Sharma"/>
    <x v="0"/>
    <x v="4"/>
    <s v="Karnataka"/>
    <x v="3"/>
    <x v="1"/>
    <x v="6"/>
    <n v="39380"/>
    <n v="10"/>
    <n v="0.3"/>
    <n v="-1969"/>
  </r>
  <r>
    <s v="ORD1088"/>
    <x v="86"/>
    <s v="CUST983"/>
    <s v="Amit Sharma"/>
    <x v="0"/>
    <x v="3"/>
    <s v="Telangana"/>
    <x v="2"/>
    <x v="2"/>
    <x v="3"/>
    <n v="22355.88"/>
    <n v="9"/>
    <n v="0.13"/>
    <n v="782.46"/>
  </r>
  <r>
    <s v="ORD1593"/>
    <x v="86"/>
    <s v="CUST464"/>
    <s v="Neha Singh"/>
    <x v="1"/>
    <x v="2"/>
    <s v="Delhi"/>
    <x v="2"/>
    <x v="2"/>
    <x v="6"/>
    <n v="39195.14"/>
    <n v="4"/>
    <n v="0.01"/>
    <n v="3723.54"/>
  </r>
  <r>
    <s v="ORD2357"/>
    <x v="86"/>
    <s v="CUST539"/>
    <s v="Ravi Kumar"/>
    <x v="2"/>
    <x v="3"/>
    <s v="Telangana"/>
    <x v="2"/>
    <x v="0"/>
    <x v="3"/>
    <n v="10758.94"/>
    <n v="4"/>
    <n v="0.22"/>
    <n v="-107.59"/>
  </r>
  <r>
    <s v="ORD1500"/>
    <x v="87"/>
    <s v="CUST858"/>
    <s v="Sneha Paul"/>
    <x v="2"/>
    <x v="5"/>
    <s v="Tamil Nadu"/>
    <x v="1"/>
    <x v="0"/>
    <x v="4"/>
    <n v="34442.129999999997"/>
    <n v="2"/>
    <n v="0.09"/>
    <n v="1894.32"/>
  </r>
  <r>
    <s v="ORD1772"/>
    <x v="87"/>
    <s v="CUST507"/>
    <s v="Rahul Das"/>
    <x v="0"/>
    <x v="5"/>
    <s v="Tamil Nadu"/>
    <x v="1"/>
    <x v="0"/>
    <x v="5"/>
    <n v="47094.92"/>
    <n v="3"/>
    <n v="0.28000000000000003"/>
    <n v="-1883.8"/>
  </r>
  <r>
    <s v="ORD2085"/>
    <x v="87"/>
    <s v="CUST561"/>
    <s v="Amit Sharma"/>
    <x v="2"/>
    <x v="2"/>
    <s v="Delhi"/>
    <x v="2"/>
    <x v="1"/>
    <x v="1"/>
    <n v="36721.19"/>
    <n v="10"/>
    <n v="0.09"/>
    <n v="2019.67"/>
  </r>
  <r>
    <s v="ORD2304"/>
    <x v="87"/>
    <s v="CUST115"/>
    <s v="Neha Singh"/>
    <x v="1"/>
    <x v="1"/>
    <s v="West Bengal"/>
    <x v="1"/>
    <x v="2"/>
    <x v="6"/>
    <n v="40610.76"/>
    <n v="7"/>
    <n v="0.24"/>
    <n v="-812.22"/>
  </r>
  <r>
    <s v="ORD2386"/>
    <x v="87"/>
    <s v="CUST374"/>
    <s v="Ravi Kumar"/>
    <x v="0"/>
    <x v="4"/>
    <s v="Karnataka"/>
    <x v="3"/>
    <x v="1"/>
    <x v="5"/>
    <n v="29544.77"/>
    <n v="10"/>
    <n v="0"/>
    <n v="2954.48"/>
  </r>
  <r>
    <s v="ORD1459"/>
    <x v="88"/>
    <s v="CUST685"/>
    <s v="Sneha Paul"/>
    <x v="0"/>
    <x v="5"/>
    <s v="Tamil Nadu"/>
    <x v="1"/>
    <x v="2"/>
    <x v="3"/>
    <n v="19211.62"/>
    <n v="3"/>
    <n v="0.01"/>
    <n v="1825.1"/>
  </r>
  <r>
    <s v="ORD1871"/>
    <x v="88"/>
    <s v="CUST736"/>
    <s v="Pooja Verma"/>
    <x v="0"/>
    <x v="2"/>
    <s v="Delhi"/>
    <x v="2"/>
    <x v="1"/>
    <x v="6"/>
    <n v="18141.05"/>
    <n v="7"/>
    <n v="0.25"/>
    <n v="-453.53"/>
  </r>
  <r>
    <s v="ORD2228"/>
    <x v="88"/>
    <s v="CUST227"/>
    <s v="Ankit Roy"/>
    <x v="1"/>
    <x v="1"/>
    <s v="West Bengal"/>
    <x v="1"/>
    <x v="0"/>
    <x v="1"/>
    <n v="20716.13"/>
    <n v="5"/>
    <n v="0.21"/>
    <n v="-103.58"/>
  </r>
  <r>
    <s v="ORD1237"/>
    <x v="89"/>
    <s v="CUST103"/>
    <s v="Ravi Kumar"/>
    <x v="0"/>
    <x v="0"/>
    <s v="Maharashtra"/>
    <x v="0"/>
    <x v="1"/>
    <x v="6"/>
    <n v="28992.25"/>
    <n v="6"/>
    <n v="0.06"/>
    <n v="2029.46"/>
  </r>
  <r>
    <s v="ORD1424"/>
    <x v="89"/>
    <s v="CUST247"/>
    <s v="Sneha Paul"/>
    <x v="0"/>
    <x v="5"/>
    <s v="Tamil Nadu"/>
    <x v="1"/>
    <x v="2"/>
    <x v="3"/>
    <n v="34384.79"/>
    <n v="6"/>
    <n v="0.09"/>
    <n v="1891.16"/>
  </r>
  <r>
    <s v="ORD1602"/>
    <x v="89"/>
    <s v="CUST363"/>
    <s v="Amit Sharma"/>
    <x v="1"/>
    <x v="2"/>
    <s v="Delhi"/>
    <x v="2"/>
    <x v="1"/>
    <x v="4"/>
    <n v="27200.98"/>
    <n v="8"/>
    <n v="0.19"/>
    <n v="136"/>
  </r>
  <r>
    <s v="ORD1730"/>
    <x v="89"/>
    <s v="CUST337"/>
    <s v="Ravi Kumar"/>
    <x v="1"/>
    <x v="2"/>
    <s v="Delhi"/>
    <x v="2"/>
    <x v="0"/>
    <x v="0"/>
    <n v="38229.230000000003"/>
    <n v="1"/>
    <n v="0.03"/>
    <n v="3249.48"/>
  </r>
  <r>
    <s v="ORD2130"/>
    <x v="89"/>
    <s v="CUST977"/>
    <s v="Amit Sharma"/>
    <x v="2"/>
    <x v="1"/>
    <s v="West Bengal"/>
    <x v="1"/>
    <x v="1"/>
    <x v="6"/>
    <n v="17789.419999999998"/>
    <n v="4"/>
    <n v="0.28000000000000003"/>
    <n v="-711.58"/>
  </r>
  <r>
    <s v="ORD2387"/>
    <x v="89"/>
    <s v="CUST506"/>
    <s v="Amit Sharma"/>
    <x v="2"/>
    <x v="4"/>
    <s v="Karnataka"/>
    <x v="3"/>
    <x v="1"/>
    <x v="2"/>
    <n v="33061.07"/>
    <n v="3"/>
    <n v="0.24"/>
    <n v="-661.22"/>
  </r>
  <r>
    <s v="ORD1392"/>
    <x v="90"/>
    <s v="CUST992"/>
    <s v="Sneha Paul"/>
    <x v="2"/>
    <x v="4"/>
    <s v="Karnataka"/>
    <x v="3"/>
    <x v="2"/>
    <x v="0"/>
    <n v="3325.85"/>
    <n v="5"/>
    <n v="0.28999999999999998"/>
    <n v="-149.66"/>
  </r>
  <r>
    <s v="ORD2466"/>
    <x v="90"/>
    <s v="CUST466"/>
    <s v="Ravi Kumar"/>
    <x v="1"/>
    <x v="1"/>
    <s v="West Bengal"/>
    <x v="1"/>
    <x v="2"/>
    <x v="1"/>
    <n v="42339.51"/>
    <n v="7"/>
    <n v="0.15"/>
    <n v="1058.49"/>
  </r>
  <r>
    <s v="ORD1705"/>
    <x v="91"/>
    <s v="CUST183"/>
    <s v="Rahul Das"/>
    <x v="2"/>
    <x v="0"/>
    <s v="Maharashtra"/>
    <x v="0"/>
    <x v="0"/>
    <x v="4"/>
    <n v="765.79"/>
    <n v="6"/>
    <n v="0.08"/>
    <n v="45.95"/>
  </r>
  <r>
    <s v="ORD2063"/>
    <x v="91"/>
    <s v="CUST325"/>
    <s v="Rahul Das"/>
    <x v="1"/>
    <x v="5"/>
    <s v="Tamil Nadu"/>
    <x v="1"/>
    <x v="1"/>
    <x v="1"/>
    <n v="16141.1"/>
    <n v="8"/>
    <n v="0.2"/>
    <n v="0"/>
  </r>
  <r>
    <s v="ORD2237"/>
    <x v="91"/>
    <s v="CUST992"/>
    <s v="Rahul Das"/>
    <x v="0"/>
    <x v="2"/>
    <s v="Delhi"/>
    <x v="2"/>
    <x v="1"/>
    <x v="5"/>
    <n v="10840.36"/>
    <n v="4"/>
    <n v="0.01"/>
    <n v="1029.83"/>
  </r>
  <r>
    <s v="ORD1503"/>
    <x v="92"/>
    <s v="CUST573"/>
    <s v="Ravi Kumar"/>
    <x v="0"/>
    <x v="4"/>
    <s v="Karnataka"/>
    <x v="3"/>
    <x v="2"/>
    <x v="4"/>
    <n v="726.05"/>
    <n v="5"/>
    <n v="0.26"/>
    <n v="-21.78"/>
  </r>
  <r>
    <s v="ORD2088"/>
    <x v="92"/>
    <s v="CUST623"/>
    <s v="Sneha Paul"/>
    <x v="2"/>
    <x v="5"/>
    <s v="Tamil Nadu"/>
    <x v="1"/>
    <x v="2"/>
    <x v="2"/>
    <n v="30707.95"/>
    <n v="10"/>
    <n v="0.3"/>
    <n v="-1535.4"/>
  </r>
  <r>
    <s v="ORD2145"/>
    <x v="92"/>
    <s v="CUST947"/>
    <s v="Pooja Verma"/>
    <x v="2"/>
    <x v="3"/>
    <s v="Telangana"/>
    <x v="2"/>
    <x v="2"/>
    <x v="6"/>
    <n v="619.58000000000004"/>
    <n v="6"/>
    <n v="0.19"/>
    <n v="3.1"/>
  </r>
  <r>
    <s v="ORD1055"/>
    <x v="93"/>
    <s v="CUST734"/>
    <s v="Ravi Kumar"/>
    <x v="0"/>
    <x v="0"/>
    <s v="Maharashtra"/>
    <x v="0"/>
    <x v="2"/>
    <x v="5"/>
    <n v="46113.55"/>
    <n v="4"/>
    <n v="7.0000000000000007E-2"/>
    <n v="2997.38"/>
  </r>
  <r>
    <s v="ORD1477"/>
    <x v="93"/>
    <s v="CUST846"/>
    <s v="Ankit Roy"/>
    <x v="2"/>
    <x v="3"/>
    <s v="Telangana"/>
    <x v="2"/>
    <x v="2"/>
    <x v="0"/>
    <n v="38866.03"/>
    <n v="5"/>
    <n v="0.01"/>
    <n v="3692.27"/>
  </r>
  <r>
    <s v="ORD1896"/>
    <x v="93"/>
    <s v="CUST939"/>
    <s v="Neha Singh"/>
    <x v="0"/>
    <x v="2"/>
    <s v="Delhi"/>
    <x v="2"/>
    <x v="1"/>
    <x v="4"/>
    <n v="37754.33"/>
    <n v="6"/>
    <n v="0.11"/>
    <n v="1698.94"/>
  </r>
  <r>
    <s v="ORD1211"/>
    <x v="94"/>
    <s v="CUST126"/>
    <s v="Amit Sharma"/>
    <x v="1"/>
    <x v="0"/>
    <s v="Maharashtra"/>
    <x v="0"/>
    <x v="1"/>
    <x v="4"/>
    <n v="19322.75"/>
    <n v="8"/>
    <n v="0.17"/>
    <n v="289.83999999999997"/>
  </r>
  <r>
    <s v="ORD1148"/>
    <x v="95"/>
    <s v="CUST631"/>
    <s v="Pooja Verma"/>
    <x v="2"/>
    <x v="3"/>
    <s v="Telangana"/>
    <x v="2"/>
    <x v="1"/>
    <x v="6"/>
    <n v="41196.620000000003"/>
    <n v="6"/>
    <n v="0.15"/>
    <n v="1029.92"/>
  </r>
  <r>
    <s v="ORD1184"/>
    <x v="95"/>
    <s v="CUST471"/>
    <s v="Pooja Verma"/>
    <x v="0"/>
    <x v="0"/>
    <s v="Maharashtra"/>
    <x v="0"/>
    <x v="1"/>
    <x v="2"/>
    <n v="47320.82"/>
    <n v="2"/>
    <n v="0.1"/>
    <n v="2366.04"/>
  </r>
  <r>
    <s v="ORD1613"/>
    <x v="95"/>
    <s v="CUST443"/>
    <s v="Ankit Roy"/>
    <x v="0"/>
    <x v="1"/>
    <s v="West Bengal"/>
    <x v="1"/>
    <x v="0"/>
    <x v="3"/>
    <n v="33664.370000000003"/>
    <n v="5"/>
    <n v="0.01"/>
    <n v="3198.12"/>
  </r>
  <r>
    <s v="ORD2293"/>
    <x v="95"/>
    <s v="CUST604"/>
    <s v="Rahul Das"/>
    <x v="1"/>
    <x v="3"/>
    <s v="Telangana"/>
    <x v="2"/>
    <x v="2"/>
    <x v="0"/>
    <n v="39870.76"/>
    <n v="9"/>
    <n v="0.24"/>
    <n v="-797.42"/>
  </r>
  <r>
    <s v="ORD1626"/>
    <x v="96"/>
    <s v="CUST674"/>
    <s v="Ravi Kumar"/>
    <x v="1"/>
    <x v="1"/>
    <s v="West Bengal"/>
    <x v="1"/>
    <x v="2"/>
    <x v="0"/>
    <n v="24671.74"/>
    <n v="9"/>
    <n v="0.24"/>
    <n v="-493.43"/>
  </r>
  <r>
    <s v="ORD1899"/>
    <x v="96"/>
    <s v="CUST111"/>
    <s v="Rahul Das"/>
    <x v="2"/>
    <x v="5"/>
    <s v="Tamil Nadu"/>
    <x v="1"/>
    <x v="1"/>
    <x v="2"/>
    <n v="43055.56"/>
    <n v="1"/>
    <n v="0.26"/>
    <n v="-1291.67"/>
  </r>
  <r>
    <s v="ORD1930"/>
    <x v="96"/>
    <s v="CUST230"/>
    <s v="Ravi Kumar"/>
    <x v="0"/>
    <x v="5"/>
    <s v="Tamil Nadu"/>
    <x v="1"/>
    <x v="0"/>
    <x v="6"/>
    <n v="11317.2"/>
    <n v="4"/>
    <n v="0.08"/>
    <n v="679.03"/>
  </r>
  <r>
    <s v="ORD2361"/>
    <x v="96"/>
    <s v="CUST716"/>
    <s v="Rahul Das"/>
    <x v="1"/>
    <x v="1"/>
    <s v="West Bengal"/>
    <x v="1"/>
    <x v="1"/>
    <x v="1"/>
    <n v="40147.980000000003"/>
    <n v="5"/>
    <n v="0.16"/>
    <n v="802.96"/>
  </r>
  <r>
    <s v="ORD1062"/>
    <x v="97"/>
    <s v="CUST831"/>
    <s v="Ankit Roy"/>
    <x v="1"/>
    <x v="3"/>
    <s v="Telangana"/>
    <x v="2"/>
    <x v="0"/>
    <x v="0"/>
    <n v="8166.61"/>
    <n v="8"/>
    <n v="0.03"/>
    <n v="694.16"/>
  </r>
  <r>
    <s v="ORD1750"/>
    <x v="97"/>
    <s v="CUST651"/>
    <s v="Sneha Paul"/>
    <x v="1"/>
    <x v="4"/>
    <s v="Karnataka"/>
    <x v="3"/>
    <x v="1"/>
    <x v="6"/>
    <n v="45849.37"/>
    <n v="2"/>
    <n v="0.28000000000000003"/>
    <n v="-1833.97"/>
  </r>
  <r>
    <s v="ORD1796"/>
    <x v="98"/>
    <s v="CUST111"/>
    <s v="Pooja Verma"/>
    <x v="1"/>
    <x v="3"/>
    <s v="Telangana"/>
    <x v="2"/>
    <x v="2"/>
    <x v="3"/>
    <n v="11742.98"/>
    <n v="2"/>
    <n v="0.19"/>
    <n v="58.71"/>
  </r>
  <r>
    <s v="ORD2377"/>
    <x v="98"/>
    <s v="CUST219"/>
    <s v="Neha Singh"/>
    <x v="2"/>
    <x v="4"/>
    <s v="Karnataka"/>
    <x v="3"/>
    <x v="2"/>
    <x v="1"/>
    <n v="16843.57"/>
    <n v="2"/>
    <n v="0.3"/>
    <n v="-842.18"/>
  </r>
  <r>
    <s v="ORD1142"/>
    <x v="99"/>
    <s v="CUST523"/>
    <s v="Amit Sharma"/>
    <x v="2"/>
    <x v="1"/>
    <s v="West Bengal"/>
    <x v="1"/>
    <x v="2"/>
    <x v="2"/>
    <n v="41561.5"/>
    <n v="1"/>
    <n v="0.15"/>
    <n v="1039.04"/>
  </r>
  <r>
    <s v="ORD1476"/>
    <x v="99"/>
    <s v="CUST937"/>
    <s v="Neha Singh"/>
    <x v="2"/>
    <x v="3"/>
    <s v="Telangana"/>
    <x v="2"/>
    <x v="0"/>
    <x v="6"/>
    <n v="20228.54"/>
    <n v="4"/>
    <n v="0.13"/>
    <n v="708"/>
  </r>
  <r>
    <s v="ORD1326"/>
    <x v="100"/>
    <s v="CUST247"/>
    <s v="Rahul Das"/>
    <x v="1"/>
    <x v="3"/>
    <s v="Telangana"/>
    <x v="2"/>
    <x v="2"/>
    <x v="5"/>
    <n v="43217.89"/>
    <n v="8"/>
    <n v="0.18"/>
    <n v="432.18"/>
  </r>
  <r>
    <s v="ORD1416"/>
    <x v="101"/>
    <s v="CUST708"/>
    <s v="Rahul Das"/>
    <x v="1"/>
    <x v="2"/>
    <s v="Delhi"/>
    <x v="2"/>
    <x v="2"/>
    <x v="4"/>
    <n v="48984.77"/>
    <n v="3"/>
    <n v="0.08"/>
    <n v="2939.09"/>
  </r>
  <r>
    <s v="ORD1199"/>
    <x v="102"/>
    <s v="CUST146"/>
    <s v="Ravi Kumar"/>
    <x v="2"/>
    <x v="3"/>
    <s v="Telangana"/>
    <x v="2"/>
    <x v="2"/>
    <x v="4"/>
    <n v="2409.41"/>
    <n v="8"/>
    <n v="0.28000000000000003"/>
    <n v="-96.38"/>
  </r>
  <r>
    <s v="ORD1512"/>
    <x v="102"/>
    <s v="CUST958"/>
    <s v="Rahul Das"/>
    <x v="1"/>
    <x v="2"/>
    <s v="Delhi"/>
    <x v="2"/>
    <x v="1"/>
    <x v="3"/>
    <n v="40669.35"/>
    <n v="6"/>
    <n v="0.3"/>
    <n v="-2033.47"/>
  </r>
  <r>
    <s v="ORD2010"/>
    <x v="102"/>
    <s v="CUST491"/>
    <s v="Ravi Kumar"/>
    <x v="0"/>
    <x v="2"/>
    <s v="Delhi"/>
    <x v="2"/>
    <x v="2"/>
    <x v="4"/>
    <n v="18159.5"/>
    <n v="9"/>
    <n v="0.2"/>
    <n v="0"/>
  </r>
  <r>
    <s v="ORD1383"/>
    <x v="103"/>
    <s v="CUST858"/>
    <s v="Pooja Verma"/>
    <x v="0"/>
    <x v="2"/>
    <s v="Delhi"/>
    <x v="2"/>
    <x v="1"/>
    <x v="2"/>
    <n v="24531.81"/>
    <n v="8"/>
    <n v="0.06"/>
    <n v="1717.23"/>
  </r>
  <r>
    <s v="ORD1576"/>
    <x v="103"/>
    <s v="CUST933"/>
    <s v="Ankit Roy"/>
    <x v="2"/>
    <x v="0"/>
    <s v="Maharashtra"/>
    <x v="0"/>
    <x v="2"/>
    <x v="1"/>
    <n v="25545.43"/>
    <n v="8"/>
    <n v="0.27"/>
    <n v="-894.09"/>
  </r>
  <r>
    <s v="ORD1619"/>
    <x v="104"/>
    <s v="CUST932"/>
    <s v="Ankit Roy"/>
    <x v="1"/>
    <x v="4"/>
    <s v="Karnataka"/>
    <x v="3"/>
    <x v="2"/>
    <x v="6"/>
    <n v="48709.94"/>
    <n v="9"/>
    <n v="0.22"/>
    <n v="-487.1"/>
  </r>
  <r>
    <s v="ORD1995"/>
    <x v="104"/>
    <s v="CUST270"/>
    <s v="Neha Singh"/>
    <x v="2"/>
    <x v="5"/>
    <s v="Tamil Nadu"/>
    <x v="1"/>
    <x v="1"/>
    <x v="0"/>
    <n v="29966.85"/>
    <n v="5"/>
    <n v="0.09"/>
    <n v="1648.18"/>
  </r>
  <r>
    <s v="ORD1271"/>
    <x v="105"/>
    <s v="CUST612"/>
    <s v="Neha Singh"/>
    <x v="2"/>
    <x v="3"/>
    <s v="Telangana"/>
    <x v="2"/>
    <x v="2"/>
    <x v="1"/>
    <n v="43299.69"/>
    <n v="7"/>
    <n v="0.12"/>
    <n v="1731.99"/>
  </r>
  <r>
    <s v="ORD1344"/>
    <x v="105"/>
    <s v="CUST281"/>
    <s v="Neha Singh"/>
    <x v="0"/>
    <x v="0"/>
    <s v="Maharashtra"/>
    <x v="0"/>
    <x v="0"/>
    <x v="6"/>
    <n v="46786.71"/>
    <n v="10"/>
    <n v="0.18"/>
    <n v="467.87"/>
  </r>
  <r>
    <s v="ORD2370"/>
    <x v="105"/>
    <s v="CUST273"/>
    <s v="Pooja Verma"/>
    <x v="2"/>
    <x v="3"/>
    <s v="Telangana"/>
    <x v="2"/>
    <x v="0"/>
    <x v="4"/>
    <n v="46652.51"/>
    <n v="6"/>
    <n v="0.03"/>
    <n v="3965.46"/>
  </r>
  <r>
    <s v="ORD1107"/>
    <x v="106"/>
    <s v="CUST712"/>
    <s v="Ravi Kumar"/>
    <x v="1"/>
    <x v="2"/>
    <s v="Delhi"/>
    <x v="2"/>
    <x v="2"/>
    <x v="4"/>
    <n v="24766.98"/>
    <n v="4"/>
    <n v="0.18"/>
    <n v="247.67"/>
  </r>
  <r>
    <s v="ORD2065"/>
    <x v="106"/>
    <s v="CUST536"/>
    <s v="Sneha Paul"/>
    <x v="2"/>
    <x v="3"/>
    <s v="Telangana"/>
    <x v="2"/>
    <x v="0"/>
    <x v="1"/>
    <n v="21158.43"/>
    <n v="10"/>
    <n v="0.02"/>
    <n v="1904.26"/>
  </r>
  <r>
    <s v="ORD1141"/>
    <x v="107"/>
    <s v="CUST205"/>
    <s v="Rahul Das"/>
    <x v="2"/>
    <x v="3"/>
    <s v="Telangana"/>
    <x v="2"/>
    <x v="0"/>
    <x v="6"/>
    <n v="11614.66"/>
    <n v="9"/>
    <n v="0"/>
    <n v="1161.47"/>
  </r>
  <r>
    <s v="ORD1509"/>
    <x v="107"/>
    <s v="CUST935"/>
    <s v="Ankit Roy"/>
    <x v="2"/>
    <x v="0"/>
    <s v="Maharashtra"/>
    <x v="0"/>
    <x v="1"/>
    <x v="2"/>
    <n v="17123.330000000002"/>
    <n v="3"/>
    <n v="0.1"/>
    <n v="856.17"/>
  </r>
  <r>
    <s v="ORD1540"/>
    <x v="107"/>
    <s v="CUST925"/>
    <s v="Ravi Kumar"/>
    <x v="0"/>
    <x v="2"/>
    <s v="Delhi"/>
    <x v="2"/>
    <x v="1"/>
    <x v="3"/>
    <n v="11161.9"/>
    <n v="4"/>
    <n v="0.17"/>
    <n v="167.43"/>
  </r>
  <r>
    <s v="ORD2274"/>
    <x v="107"/>
    <s v="CUST302"/>
    <s v="Ravi Kumar"/>
    <x v="0"/>
    <x v="2"/>
    <s v="Delhi"/>
    <x v="2"/>
    <x v="1"/>
    <x v="1"/>
    <n v="33953.769999999997"/>
    <n v="9"/>
    <n v="0.27"/>
    <n v="-1188.3800000000001"/>
  </r>
  <r>
    <s v="ORD1122"/>
    <x v="108"/>
    <s v="CUST614"/>
    <s v="Amit Sharma"/>
    <x v="0"/>
    <x v="1"/>
    <s v="West Bengal"/>
    <x v="1"/>
    <x v="0"/>
    <x v="5"/>
    <n v="5944.32"/>
    <n v="8"/>
    <n v="0.01"/>
    <n v="564.71"/>
  </r>
  <r>
    <s v="ORD1765"/>
    <x v="108"/>
    <s v="CUST622"/>
    <s v="Neha Singh"/>
    <x v="0"/>
    <x v="5"/>
    <s v="Tamil Nadu"/>
    <x v="1"/>
    <x v="0"/>
    <x v="5"/>
    <n v="48144.58"/>
    <n v="10"/>
    <n v="0.26"/>
    <n v="-1444.34"/>
  </r>
  <r>
    <s v="ORD1970"/>
    <x v="108"/>
    <s v="CUST943"/>
    <s v="Amit Sharma"/>
    <x v="0"/>
    <x v="0"/>
    <s v="Maharashtra"/>
    <x v="0"/>
    <x v="2"/>
    <x v="0"/>
    <n v="9487.76"/>
    <n v="9"/>
    <n v="0.26"/>
    <n v="-284.63"/>
  </r>
  <r>
    <s v="ORD1754"/>
    <x v="109"/>
    <s v="CUST672"/>
    <s v="Neha Singh"/>
    <x v="2"/>
    <x v="5"/>
    <s v="Tamil Nadu"/>
    <x v="1"/>
    <x v="0"/>
    <x v="2"/>
    <n v="5108.91"/>
    <n v="5"/>
    <n v="0.27"/>
    <n v="-178.81"/>
  </r>
  <r>
    <s v="ORD2024"/>
    <x v="109"/>
    <s v="CUST798"/>
    <s v="Pooja Verma"/>
    <x v="0"/>
    <x v="5"/>
    <s v="Tamil Nadu"/>
    <x v="1"/>
    <x v="2"/>
    <x v="1"/>
    <n v="5542.07"/>
    <n v="10"/>
    <n v="0.01"/>
    <n v="526.5"/>
  </r>
  <r>
    <s v="ORD1001"/>
    <x v="110"/>
    <s v="CUST542"/>
    <s v="Amit Sharma"/>
    <x v="1"/>
    <x v="1"/>
    <s v="West Bengal"/>
    <x v="1"/>
    <x v="0"/>
    <x v="0"/>
    <n v="35832.959999999999"/>
    <n v="1"/>
    <n v="0.21"/>
    <n v="-179.16"/>
  </r>
  <r>
    <s v="ORD2216"/>
    <x v="110"/>
    <s v="CUST319"/>
    <s v="Ankit Roy"/>
    <x v="0"/>
    <x v="5"/>
    <s v="Tamil Nadu"/>
    <x v="1"/>
    <x v="0"/>
    <x v="2"/>
    <n v="1357.25"/>
    <n v="8"/>
    <n v="0.22"/>
    <n v="-13.57"/>
  </r>
  <r>
    <s v="ORD2346"/>
    <x v="110"/>
    <s v="CUST549"/>
    <s v="Neha Singh"/>
    <x v="1"/>
    <x v="4"/>
    <s v="Karnataka"/>
    <x v="3"/>
    <x v="1"/>
    <x v="3"/>
    <n v="10361.9"/>
    <n v="4"/>
    <n v="0.11"/>
    <n v="466.29"/>
  </r>
  <r>
    <s v="ORD2393"/>
    <x v="110"/>
    <s v="CUST117"/>
    <s v="Amit Sharma"/>
    <x v="2"/>
    <x v="5"/>
    <s v="Tamil Nadu"/>
    <x v="1"/>
    <x v="0"/>
    <x v="3"/>
    <n v="32423.94"/>
    <n v="4"/>
    <n v="0.05"/>
    <n v="2431.8000000000002"/>
  </r>
  <r>
    <s v="ORD2009"/>
    <x v="111"/>
    <s v="CUST929"/>
    <s v="Ankit Roy"/>
    <x v="1"/>
    <x v="5"/>
    <s v="Tamil Nadu"/>
    <x v="1"/>
    <x v="1"/>
    <x v="6"/>
    <n v="28458"/>
    <n v="3"/>
    <n v="0.18"/>
    <n v="284.58"/>
  </r>
  <r>
    <s v="ORD1369"/>
    <x v="112"/>
    <s v="CUST179"/>
    <s v="Ankit Roy"/>
    <x v="2"/>
    <x v="5"/>
    <s v="Tamil Nadu"/>
    <x v="1"/>
    <x v="1"/>
    <x v="5"/>
    <n v="21919.93"/>
    <n v="6"/>
    <n v="0.06"/>
    <n v="1534.4"/>
  </r>
  <r>
    <s v="ORD1625"/>
    <x v="112"/>
    <s v="CUST390"/>
    <s v="Ankit Roy"/>
    <x v="1"/>
    <x v="5"/>
    <s v="Tamil Nadu"/>
    <x v="1"/>
    <x v="2"/>
    <x v="3"/>
    <n v="35404.699999999997"/>
    <n v="10"/>
    <n v="0.02"/>
    <n v="3186.42"/>
  </r>
  <r>
    <s v="ORD2404"/>
    <x v="112"/>
    <s v="CUST480"/>
    <s v="Sneha Paul"/>
    <x v="0"/>
    <x v="4"/>
    <s v="Karnataka"/>
    <x v="3"/>
    <x v="2"/>
    <x v="6"/>
    <n v="7390.91"/>
    <n v="4"/>
    <n v="0.05"/>
    <n v="554.32000000000005"/>
  </r>
  <r>
    <s v="ORD2460"/>
    <x v="112"/>
    <s v="CUST729"/>
    <s v="Ravi Kumar"/>
    <x v="1"/>
    <x v="2"/>
    <s v="Delhi"/>
    <x v="2"/>
    <x v="1"/>
    <x v="2"/>
    <n v="46489.33"/>
    <n v="9"/>
    <n v="0.28000000000000003"/>
    <n v="-1859.57"/>
  </r>
  <r>
    <s v="ORD1368"/>
    <x v="113"/>
    <s v="CUST849"/>
    <s v="Neha Singh"/>
    <x v="2"/>
    <x v="4"/>
    <s v="Karnataka"/>
    <x v="3"/>
    <x v="0"/>
    <x v="2"/>
    <n v="44748.95"/>
    <n v="3"/>
    <n v="0.09"/>
    <n v="2461.19"/>
  </r>
  <r>
    <s v="ORD2019"/>
    <x v="113"/>
    <s v="CUST295"/>
    <s v="Neha Singh"/>
    <x v="0"/>
    <x v="3"/>
    <s v="Telangana"/>
    <x v="2"/>
    <x v="1"/>
    <x v="6"/>
    <n v="10314.64"/>
    <n v="7"/>
    <n v="0.19"/>
    <n v="51.57"/>
  </r>
  <r>
    <s v="ORD1813"/>
    <x v="114"/>
    <s v="CUST437"/>
    <s v="Ravi Kumar"/>
    <x v="2"/>
    <x v="3"/>
    <s v="Telangana"/>
    <x v="2"/>
    <x v="0"/>
    <x v="6"/>
    <n v="2625.87"/>
    <n v="9"/>
    <n v="0.08"/>
    <n v="157.55000000000001"/>
  </r>
  <r>
    <s v="ORD1743"/>
    <x v="115"/>
    <s v="CUST246"/>
    <s v="Amit Sharma"/>
    <x v="1"/>
    <x v="2"/>
    <s v="Delhi"/>
    <x v="2"/>
    <x v="2"/>
    <x v="3"/>
    <n v="46817.33"/>
    <n v="10"/>
    <n v="0.27"/>
    <n v="-1638.61"/>
  </r>
  <r>
    <s v="ORD2029"/>
    <x v="115"/>
    <s v="CUST337"/>
    <s v="Neha Singh"/>
    <x v="0"/>
    <x v="1"/>
    <s v="West Bengal"/>
    <x v="1"/>
    <x v="0"/>
    <x v="6"/>
    <n v="6601.99"/>
    <n v="7"/>
    <n v="0.15"/>
    <n v="165.05"/>
  </r>
  <r>
    <s v="ORD2154"/>
    <x v="115"/>
    <s v="CUST678"/>
    <s v="Neha Singh"/>
    <x v="0"/>
    <x v="4"/>
    <s v="Karnataka"/>
    <x v="3"/>
    <x v="1"/>
    <x v="3"/>
    <n v="40070.85"/>
    <n v="1"/>
    <n v="0.01"/>
    <n v="3806.73"/>
  </r>
  <r>
    <s v="ORD1157"/>
    <x v="116"/>
    <s v="CUST466"/>
    <s v="Amit Sharma"/>
    <x v="0"/>
    <x v="0"/>
    <s v="Maharashtra"/>
    <x v="0"/>
    <x v="1"/>
    <x v="6"/>
    <n v="36416.730000000003"/>
    <n v="9"/>
    <n v="0.17"/>
    <n v="546.25"/>
  </r>
  <r>
    <s v="ORD1275"/>
    <x v="116"/>
    <s v="CUST143"/>
    <s v="Neha Singh"/>
    <x v="0"/>
    <x v="2"/>
    <s v="Delhi"/>
    <x v="2"/>
    <x v="1"/>
    <x v="1"/>
    <n v="38529.35"/>
    <n v="2"/>
    <n v="0.17"/>
    <n v="577.94000000000005"/>
  </r>
  <r>
    <s v="ORD1751"/>
    <x v="116"/>
    <s v="CUST719"/>
    <s v="Ravi Kumar"/>
    <x v="2"/>
    <x v="1"/>
    <s v="West Bengal"/>
    <x v="1"/>
    <x v="0"/>
    <x v="6"/>
    <n v="16790.79"/>
    <n v="2"/>
    <n v="0.02"/>
    <n v="1511.17"/>
  </r>
  <r>
    <s v="ORD1016"/>
    <x v="117"/>
    <s v="CUST496"/>
    <s v="Ankit Roy"/>
    <x v="0"/>
    <x v="3"/>
    <s v="Telangana"/>
    <x v="2"/>
    <x v="2"/>
    <x v="3"/>
    <n v="39217.68"/>
    <n v="4"/>
    <n v="0.28000000000000003"/>
    <n v="-1568.71"/>
  </r>
  <r>
    <s v="ORD1097"/>
    <x v="117"/>
    <s v="CUST783"/>
    <s v="Sneha Paul"/>
    <x v="0"/>
    <x v="1"/>
    <s v="West Bengal"/>
    <x v="1"/>
    <x v="2"/>
    <x v="0"/>
    <n v="1675.16"/>
    <n v="8"/>
    <n v="0.25"/>
    <n v="-41.88"/>
  </r>
  <r>
    <s v="ORD1155"/>
    <x v="117"/>
    <s v="CUST651"/>
    <s v="Pooja Verma"/>
    <x v="1"/>
    <x v="1"/>
    <s v="West Bengal"/>
    <x v="1"/>
    <x v="1"/>
    <x v="3"/>
    <n v="33508.85"/>
    <n v="2"/>
    <n v="0.3"/>
    <n v="-1675.44"/>
  </r>
  <r>
    <s v="ORD1589"/>
    <x v="117"/>
    <s v="CUST833"/>
    <s v="Ravi Kumar"/>
    <x v="0"/>
    <x v="5"/>
    <s v="Tamil Nadu"/>
    <x v="1"/>
    <x v="0"/>
    <x v="1"/>
    <n v="19099.240000000002"/>
    <n v="1"/>
    <n v="0.2"/>
    <n v="0"/>
  </r>
  <r>
    <s v="ORD1838"/>
    <x v="117"/>
    <s v="CUST702"/>
    <s v="Pooja Verma"/>
    <x v="2"/>
    <x v="5"/>
    <s v="Tamil Nadu"/>
    <x v="1"/>
    <x v="0"/>
    <x v="4"/>
    <n v="28153.94"/>
    <n v="2"/>
    <n v="0.16"/>
    <n v="563.08000000000004"/>
  </r>
  <r>
    <s v="ORD2193"/>
    <x v="117"/>
    <s v="CUST669"/>
    <s v="Rahul Das"/>
    <x v="0"/>
    <x v="4"/>
    <s v="Karnataka"/>
    <x v="3"/>
    <x v="0"/>
    <x v="0"/>
    <n v="24517.78"/>
    <n v="9"/>
    <n v="0.24"/>
    <n v="-490.36"/>
  </r>
  <r>
    <s v="ORD2311"/>
    <x v="117"/>
    <s v="CUST191"/>
    <s v="Rahul Das"/>
    <x v="1"/>
    <x v="1"/>
    <s v="West Bengal"/>
    <x v="1"/>
    <x v="2"/>
    <x v="3"/>
    <n v="42881.97"/>
    <n v="5"/>
    <n v="0.11"/>
    <n v="1929.69"/>
  </r>
  <r>
    <s v="ORD2375"/>
    <x v="117"/>
    <s v="CUST759"/>
    <s v="Rahul Das"/>
    <x v="0"/>
    <x v="3"/>
    <s v="Telangana"/>
    <x v="2"/>
    <x v="0"/>
    <x v="2"/>
    <n v="9748.3700000000008"/>
    <n v="9"/>
    <n v="0.28000000000000003"/>
    <n v="-389.93"/>
  </r>
  <r>
    <s v="ORD1063"/>
    <x v="118"/>
    <s v="CUST557"/>
    <s v="Sneha Paul"/>
    <x v="2"/>
    <x v="1"/>
    <s v="West Bengal"/>
    <x v="1"/>
    <x v="1"/>
    <x v="6"/>
    <n v="34195.089999999997"/>
    <n v="4"/>
    <n v="0.16"/>
    <n v="683.9"/>
  </r>
  <r>
    <s v="ORD1377"/>
    <x v="118"/>
    <s v="CUST667"/>
    <s v="Pooja Verma"/>
    <x v="2"/>
    <x v="4"/>
    <s v="Karnataka"/>
    <x v="3"/>
    <x v="1"/>
    <x v="4"/>
    <n v="34698.81"/>
    <n v="7"/>
    <n v="0.26"/>
    <n v="-1040.96"/>
  </r>
  <r>
    <s v="ORD1471"/>
    <x v="118"/>
    <s v="CUST273"/>
    <s v="Neha Singh"/>
    <x v="1"/>
    <x v="2"/>
    <s v="Delhi"/>
    <x v="2"/>
    <x v="1"/>
    <x v="4"/>
    <n v="45348.86"/>
    <n v="10"/>
    <n v="0.16"/>
    <n v="906.98"/>
  </r>
  <r>
    <s v="ORD1256"/>
    <x v="119"/>
    <s v="CUST148"/>
    <s v="Sneha Paul"/>
    <x v="0"/>
    <x v="2"/>
    <s v="Delhi"/>
    <x v="2"/>
    <x v="1"/>
    <x v="4"/>
    <n v="40209.18"/>
    <n v="5"/>
    <n v="0.19"/>
    <n v="201.05"/>
  </r>
  <r>
    <s v="ORD2244"/>
    <x v="119"/>
    <s v="CUST309"/>
    <s v="Rahul Das"/>
    <x v="1"/>
    <x v="1"/>
    <s v="West Bengal"/>
    <x v="1"/>
    <x v="1"/>
    <x v="3"/>
    <n v="44529.96"/>
    <n v="6"/>
    <n v="0.03"/>
    <n v="3785.05"/>
  </r>
  <r>
    <s v="ORD2262"/>
    <x v="119"/>
    <s v="CUST486"/>
    <s v="Pooja Verma"/>
    <x v="0"/>
    <x v="4"/>
    <s v="Karnataka"/>
    <x v="3"/>
    <x v="0"/>
    <x v="1"/>
    <n v="3446.06"/>
    <n v="6"/>
    <n v="0.17"/>
    <n v="51.69"/>
  </r>
  <r>
    <s v="ORD1652"/>
    <x v="120"/>
    <s v="CUST629"/>
    <s v="Ankit Roy"/>
    <x v="2"/>
    <x v="2"/>
    <s v="Delhi"/>
    <x v="2"/>
    <x v="0"/>
    <x v="3"/>
    <n v="13179.44"/>
    <n v="3"/>
    <n v="0.01"/>
    <n v="1252.05"/>
  </r>
  <r>
    <s v="ORD1949"/>
    <x v="120"/>
    <s v="CUST634"/>
    <s v="Sneha Paul"/>
    <x v="2"/>
    <x v="3"/>
    <s v="Telangana"/>
    <x v="2"/>
    <x v="0"/>
    <x v="1"/>
    <n v="32646.83"/>
    <n v="8"/>
    <n v="0.28999999999999998"/>
    <n v="-1469.11"/>
  </r>
  <r>
    <s v="ORD1042"/>
    <x v="121"/>
    <s v="CUST265"/>
    <s v="Pooja Verma"/>
    <x v="0"/>
    <x v="3"/>
    <s v="Telangana"/>
    <x v="2"/>
    <x v="2"/>
    <x v="4"/>
    <n v="21260.19"/>
    <n v="4"/>
    <n v="0.11"/>
    <n v="956.71"/>
  </r>
  <r>
    <s v="ORD1189"/>
    <x v="121"/>
    <s v="CUST172"/>
    <s v="Sneha Paul"/>
    <x v="2"/>
    <x v="2"/>
    <s v="Delhi"/>
    <x v="2"/>
    <x v="2"/>
    <x v="6"/>
    <n v="35228.68"/>
    <n v="10"/>
    <n v="0.01"/>
    <n v="3346.72"/>
  </r>
  <r>
    <s v="ORD2180"/>
    <x v="121"/>
    <s v="CUST614"/>
    <s v="Neha Singh"/>
    <x v="2"/>
    <x v="2"/>
    <s v="Delhi"/>
    <x v="2"/>
    <x v="2"/>
    <x v="6"/>
    <n v="31991.86"/>
    <n v="3"/>
    <n v="0.11"/>
    <n v="1439.63"/>
  </r>
  <r>
    <s v="ORD1868"/>
    <x v="122"/>
    <s v="CUST569"/>
    <s v="Rahul Das"/>
    <x v="0"/>
    <x v="3"/>
    <s v="Telangana"/>
    <x v="2"/>
    <x v="1"/>
    <x v="3"/>
    <n v="39513.339999999997"/>
    <n v="10"/>
    <n v="0.18"/>
    <n v="395.13"/>
  </r>
  <r>
    <s v="ORD1973"/>
    <x v="122"/>
    <s v="CUST709"/>
    <s v="Rahul Das"/>
    <x v="2"/>
    <x v="4"/>
    <s v="Karnataka"/>
    <x v="3"/>
    <x v="0"/>
    <x v="0"/>
    <n v="1513.76"/>
    <n v="6"/>
    <n v="0.01"/>
    <n v="143.81"/>
  </r>
  <r>
    <s v="ORD2083"/>
    <x v="122"/>
    <s v="CUST419"/>
    <s v="Neha Singh"/>
    <x v="2"/>
    <x v="1"/>
    <s v="West Bengal"/>
    <x v="1"/>
    <x v="1"/>
    <x v="5"/>
    <n v="2659.03"/>
    <n v="6"/>
    <n v="0.04"/>
    <n v="212.72"/>
  </r>
  <r>
    <s v="ORD2353"/>
    <x v="122"/>
    <s v="CUST268"/>
    <s v="Sneha Paul"/>
    <x v="0"/>
    <x v="5"/>
    <s v="Tamil Nadu"/>
    <x v="1"/>
    <x v="1"/>
    <x v="0"/>
    <n v="33535.040000000001"/>
    <n v="6"/>
    <n v="0.2"/>
    <n v="0"/>
  </r>
  <r>
    <s v="ORD1027"/>
    <x v="123"/>
    <s v="CUST896"/>
    <s v="Amit Sharma"/>
    <x v="0"/>
    <x v="0"/>
    <s v="Maharashtra"/>
    <x v="0"/>
    <x v="1"/>
    <x v="6"/>
    <n v="14072.05"/>
    <n v="7"/>
    <n v="0.22"/>
    <n v="-140.72"/>
  </r>
  <r>
    <s v="ORD1525"/>
    <x v="123"/>
    <s v="CUST346"/>
    <s v="Sneha Paul"/>
    <x v="0"/>
    <x v="5"/>
    <s v="Tamil Nadu"/>
    <x v="1"/>
    <x v="1"/>
    <x v="0"/>
    <n v="12412.71"/>
    <n v="5"/>
    <n v="7.0000000000000007E-2"/>
    <n v="806.83"/>
  </r>
  <r>
    <s v="ORD1569"/>
    <x v="123"/>
    <s v="CUST602"/>
    <s v="Ravi Kumar"/>
    <x v="0"/>
    <x v="0"/>
    <s v="Maharashtra"/>
    <x v="0"/>
    <x v="1"/>
    <x v="3"/>
    <n v="36184.35"/>
    <n v="4"/>
    <n v="0.17"/>
    <n v="542.77"/>
  </r>
  <r>
    <s v="ORD1831"/>
    <x v="123"/>
    <s v="CUST819"/>
    <s v="Amit Sharma"/>
    <x v="0"/>
    <x v="1"/>
    <s v="West Bengal"/>
    <x v="1"/>
    <x v="2"/>
    <x v="3"/>
    <n v="4247.3"/>
    <n v="8"/>
    <n v="7.0000000000000007E-2"/>
    <n v="276.07"/>
  </r>
  <r>
    <s v="ORD1844"/>
    <x v="123"/>
    <s v="CUST442"/>
    <s v="Rahul Das"/>
    <x v="0"/>
    <x v="2"/>
    <s v="Delhi"/>
    <x v="2"/>
    <x v="2"/>
    <x v="6"/>
    <n v="10375.65"/>
    <n v="1"/>
    <n v="0.1"/>
    <n v="518.78"/>
  </r>
  <r>
    <s v="ORD1880"/>
    <x v="123"/>
    <s v="CUST245"/>
    <s v="Pooja Verma"/>
    <x v="1"/>
    <x v="1"/>
    <s v="West Bengal"/>
    <x v="1"/>
    <x v="1"/>
    <x v="1"/>
    <n v="35814.85"/>
    <n v="5"/>
    <n v="0.18"/>
    <n v="358.15"/>
  </r>
  <r>
    <s v="ORD1981"/>
    <x v="123"/>
    <s v="CUST636"/>
    <s v="Ravi Kumar"/>
    <x v="0"/>
    <x v="2"/>
    <s v="Delhi"/>
    <x v="2"/>
    <x v="1"/>
    <x v="2"/>
    <n v="45211.13"/>
    <n v="4"/>
    <n v="0.11"/>
    <n v="2034.5"/>
  </r>
  <r>
    <s v="ORD2481"/>
    <x v="123"/>
    <s v="CUST809"/>
    <s v="Rahul Das"/>
    <x v="2"/>
    <x v="1"/>
    <s v="West Bengal"/>
    <x v="1"/>
    <x v="1"/>
    <x v="6"/>
    <n v="20381.57"/>
    <n v="9"/>
    <n v="0.28000000000000003"/>
    <n v="-815.26"/>
  </r>
  <r>
    <s v="ORD1340"/>
    <x v="124"/>
    <s v="CUST731"/>
    <s v="Pooja Verma"/>
    <x v="0"/>
    <x v="5"/>
    <s v="Tamil Nadu"/>
    <x v="1"/>
    <x v="1"/>
    <x v="3"/>
    <n v="36865.160000000003"/>
    <n v="6"/>
    <n v="0.13"/>
    <n v="1290.28"/>
  </r>
  <r>
    <s v="ORD2161"/>
    <x v="124"/>
    <s v="CUST545"/>
    <s v="Pooja Verma"/>
    <x v="0"/>
    <x v="0"/>
    <s v="Maharashtra"/>
    <x v="0"/>
    <x v="2"/>
    <x v="6"/>
    <n v="4439.0200000000004"/>
    <n v="8"/>
    <n v="0.01"/>
    <n v="421.71"/>
  </r>
  <r>
    <s v="ORD2173"/>
    <x v="124"/>
    <s v="CUST483"/>
    <s v="Pooja Verma"/>
    <x v="2"/>
    <x v="3"/>
    <s v="Telangana"/>
    <x v="2"/>
    <x v="1"/>
    <x v="3"/>
    <n v="12299.93"/>
    <n v="3"/>
    <n v="7.0000000000000007E-2"/>
    <n v="799.5"/>
  </r>
  <r>
    <s v="ORD2270"/>
    <x v="124"/>
    <s v="CUST635"/>
    <s v="Sneha Paul"/>
    <x v="0"/>
    <x v="4"/>
    <s v="Karnataka"/>
    <x v="3"/>
    <x v="2"/>
    <x v="1"/>
    <n v="33170.379999999997"/>
    <n v="1"/>
    <n v="0.28999999999999998"/>
    <n v="-1492.67"/>
  </r>
  <r>
    <s v="ORD1855"/>
    <x v="125"/>
    <s v="CUST527"/>
    <s v="Pooja Verma"/>
    <x v="2"/>
    <x v="2"/>
    <s v="Delhi"/>
    <x v="2"/>
    <x v="2"/>
    <x v="6"/>
    <n v="28799.26"/>
    <n v="2"/>
    <n v="0.06"/>
    <n v="2015.95"/>
  </r>
  <r>
    <s v="ORD1178"/>
    <x v="126"/>
    <s v="CUST913"/>
    <s v="Sneha Paul"/>
    <x v="1"/>
    <x v="1"/>
    <s v="West Bengal"/>
    <x v="1"/>
    <x v="2"/>
    <x v="2"/>
    <n v="43036.65"/>
    <n v="6"/>
    <n v="0.04"/>
    <n v="3442.93"/>
  </r>
  <r>
    <s v="ORD1780"/>
    <x v="126"/>
    <s v="CUST192"/>
    <s v="Ankit Roy"/>
    <x v="0"/>
    <x v="4"/>
    <s v="Karnataka"/>
    <x v="3"/>
    <x v="2"/>
    <x v="6"/>
    <n v="10767.3"/>
    <n v="5"/>
    <n v="0.13"/>
    <n v="376.86"/>
  </r>
  <r>
    <s v="ORD1822"/>
    <x v="126"/>
    <s v="CUST266"/>
    <s v="Pooja Verma"/>
    <x v="0"/>
    <x v="2"/>
    <s v="Delhi"/>
    <x v="2"/>
    <x v="2"/>
    <x v="6"/>
    <n v="30563.599999999999"/>
    <n v="5"/>
    <n v="0.28000000000000003"/>
    <n v="-1222.54"/>
  </r>
  <r>
    <s v="ORD1600"/>
    <x v="127"/>
    <s v="CUST306"/>
    <s v="Rahul Das"/>
    <x v="0"/>
    <x v="3"/>
    <s v="Telangana"/>
    <x v="2"/>
    <x v="1"/>
    <x v="0"/>
    <n v="39826.269999999997"/>
    <n v="9"/>
    <n v="0.13"/>
    <n v="1393.92"/>
  </r>
  <r>
    <s v="ORD1623"/>
    <x v="127"/>
    <s v="CUST855"/>
    <s v="Pooja Verma"/>
    <x v="1"/>
    <x v="5"/>
    <s v="Tamil Nadu"/>
    <x v="1"/>
    <x v="0"/>
    <x v="4"/>
    <n v="29942.57"/>
    <n v="3"/>
    <n v="0.1"/>
    <n v="1497.13"/>
  </r>
  <r>
    <s v="ORD1763"/>
    <x v="127"/>
    <s v="CUST328"/>
    <s v="Rahul Das"/>
    <x v="2"/>
    <x v="1"/>
    <s v="West Bengal"/>
    <x v="1"/>
    <x v="2"/>
    <x v="4"/>
    <n v="2374.88"/>
    <n v="6"/>
    <n v="0.06"/>
    <n v="166.24"/>
  </r>
  <r>
    <s v="ORD1941"/>
    <x v="127"/>
    <s v="CUST780"/>
    <s v="Pooja Verma"/>
    <x v="2"/>
    <x v="0"/>
    <s v="Maharashtra"/>
    <x v="0"/>
    <x v="2"/>
    <x v="4"/>
    <n v="34189.68"/>
    <n v="6"/>
    <n v="0.27"/>
    <n v="-1196.6400000000001"/>
  </r>
  <r>
    <s v="ORD2478"/>
    <x v="127"/>
    <s v="CUST928"/>
    <s v="Ravi Kumar"/>
    <x v="2"/>
    <x v="4"/>
    <s v="Karnataka"/>
    <x v="3"/>
    <x v="1"/>
    <x v="0"/>
    <n v="4542.12"/>
    <n v="1"/>
    <n v="0.21"/>
    <n v="-22.71"/>
  </r>
  <r>
    <s v="ORD1786"/>
    <x v="128"/>
    <s v="CUST960"/>
    <s v="Rahul Das"/>
    <x v="0"/>
    <x v="4"/>
    <s v="Karnataka"/>
    <x v="3"/>
    <x v="0"/>
    <x v="5"/>
    <n v="12250.72"/>
    <n v="7"/>
    <n v="0.21"/>
    <n v="-61.25"/>
  </r>
  <r>
    <s v="ORD2323"/>
    <x v="128"/>
    <s v="CUST578"/>
    <s v="Neha Singh"/>
    <x v="0"/>
    <x v="5"/>
    <s v="Tamil Nadu"/>
    <x v="1"/>
    <x v="1"/>
    <x v="2"/>
    <n v="46980.58"/>
    <n v="1"/>
    <n v="0.21"/>
    <n v="-234.9"/>
  </r>
  <r>
    <s v="ORD2470"/>
    <x v="129"/>
    <s v="CUST517"/>
    <s v="Sneha Paul"/>
    <x v="2"/>
    <x v="4"/>
    <s v="Karnataka"/>
    <x v="3"/>
    <x v="0"/>
    <x v="5"/>
    <n v="46089.03"/>
    <n v="7"/>
    <n v="0.12"/>
    <n v="1843.56"/>
  </r>
  <r>
    <s v="ORD1672"/>
    <x v="130"/>
    <s v="CUST388"/>
    <s v="Sneha Paul"/>
    <x v="2"/>
    <x v="3"/>
    <s v="Telangana"/>
    <x v="2"/>
    <x v="1"/>
    <x v="0"/>
    <n v="29489.94"/>
    <n v="1"/>
    <n v="0.1"/>
    <n v="1474.5"/>
  </r>
  <r>
    <s v="ORD1699"/>
    <x v="130"/>
    <s v="CUST999"/>
    <s v="Ravi Kumar"/>
    <x v="0"/>
    <x v="2"/>
    <s v="Delhi"/>
    <x v="2"/>
    <x v="1"/>
    <x v="1"/>
    <n v="6382.06"/>
    <n v="6"/>
    <n v="0.28000000000000003"/>
    <n v="-255.28"/>
  </r>
  <r>
    <s v="ORD1898"/>
    <x v="130"/>
    <s v="CUST974"/>
    <s v="Pooja Verma"/>
    <x v="0"/>
    <x v="4"/>
    <s v="Karnataka"/>
    <x v="3"/>
    <x v="0"/>
    <x v="3"/>
    <n v="9312.89"/>
    <n v="2"/>
    <n v="0.01"/>
    <n v="884.72"/>
  </r>
  <r>
    <s v="ORD2465"/>
    <x v="130"/>
    <s v="CUST684"/>
    <s v="Ravi Kumar"/>
    <x v="1"/>
    <x v="1"/>
    <s v="West Bengal"/>
    <x v="1"/>
    <x v="2"/>
    <x v="1"/>
    <n v="1615.29"/>
    <n v="5"/>
    <n v="0.18"/>
    <n v="16.149999999999999"/>
  </r>
  <r>
    <s v="ORD1413"/>
    <x v="131"/>
    <s v="CUST383"/>
    <s v="Rahul Das"/>
    <x v="2"/>
    <x v="2"/>
    <s v="Delhi"/>
    <x v="2"/>
    <x v="1"/>
    <x v="6"/>
    <n v="45915.96"/>
    <n v="8"/>
    <n v="0.02"/>
    <n v="4132.4399999999996"/>
  </r>
  <r>
    <s v="ORD1523"/>
    <x v="131"/>
    <s v="CUST355"/>
    <s v="Neha Singh"/>
    <x v="0"/>
    <x v="1"/>
    <s v="West Bengal"/>
    <x v="1"/>
    <x v="0"/>
    <x v="2"/>
    <n v="39169.24"/>
    <n v="10"/>
    <n v="0.17"/>
    <n v="587.54"/>
  </r>
  <r>
    <s v="ORD1936"/>
    <x v="131"/>
    <s v="CUST968"/>
    <s v="Ankit Roy"/>
    <x v="1"/>
    <x v="2"/>
    <s v="Delhi"/>
    <x v="2"/>
    <x v="2"/>
    <x v="2"/>
    <n v="16698.43"/>
    <n v="9"/>
    <n v="0.25"/>
    <n v="-417.46"/>
  </r>
  <r>
    <s v="ORD1201"/>
    <x v="132"/>
    <s v="CUST342"/>
    <s v="Ankit Roy"/>
    <x v="0"/>
    <x v="3"/>
    <s v="Telangana"/>
    <x v="2"/>
    <x v="0"/>
    <x v="2"/>
    <n v="1483.14"/>
    <n v="7"/>
    <n v="0.1"/>
    <n v="74.16"/>
  </r>
  <r>
    <s v="ORD1298"/>
    <x v="133"/>
    <s v="CUST694"/>
    <s v="Neha Singh"/>
    <x v="0"/>
    <x v="4"/>
    <s v="Karnataka"/>
    <x v="3"/>
    <x v="1"/>
    <x v="3"/>
    <n v="29297.63"/>
    <n v="1"/>
    <n v="0.04"/>
    <n v="2343.81"/>
  </r>
  <r>
    <s v="ORD2111"/>
    <x v="134"/>
    <s v="CUST553"/>
    <s v="Sneha Paul"/>
    <x v="1"/>
    <x v="0"/>
    <s v="Maharashtra"/>
    <x v="0"/>
    <x v="2"/>
    <x v="0"/>
    <n v="41566.51"/>
    <n v="4"/>
    <n v="0.18"/>
    <n v="415.67"/>
  </r>
  <r>
    <s v="ORD1021"/>
    <x v="135"/>
    <s v="CUST799"/>
    <s v="Ravi Kumar"/>
    <x v="2"/>
    <x v="5"/>
    <s v="Tamil Nadu"/>
    <x v="1"/>
    <x v="0"/>
    <x v="6"/>
    <n v="3211.11"/>
    <n v="1"/>
    <n v="0.21"/>
    <n v="-16.059999999999999"/>
  </r>
  <r>
    <s v="ORD1025"/>
    <x v="135"/>
    <s v="CUST514"/>
    <s v="Rahul Das"/>
    <x v="0"/>
    <x v="4"/>
    <s v="Karnataka"/>
    <x v="3"/>
    <x v="2"/>
    <x v="3"/>
    <n v="2701.43"/>
    <n v="3"/>
    <n v="0.25"/>
    <n v="-67.540000000000006"/>
  </r>
  <r>
    <s v="ORD1220"/>
    <x v="135"/>
    <s v="CUST772"/>
    <s v="Pooja Verma"/>
    <x v="2"/>
    <x v="5"/>
    <s v="Tamil Nadu"/>
    <x v="1"/>
    <x v="1"/>
    <x v="5"/>
    <n v="19164.57"/>
    <n v="3"/>
    <n v="0.22"/>
    <n v="-191.65"/>
  </r>
  <r>
    <s v="ORD1594"/>
    <x v="135"/>
    <s v="CUST492"/>
    <s v="Rahul Das"/>
    <x v="2"/>
    <x v="4"/>
    <s v="Karnataka"/>
    <x v="3"/>
    <x v="2"/>
    <x v="0"/>
    <n v="49842.42"/>
    <n v="10"/>
    <n v="0.13"/>
    <n v="1744.48"/>
  </r>
  <r>
    <s v="ORD2494"/>
    <x v="135"/>
    <s v="CUST138"/>
    <s v="Ravi Kumar"/>
    <x v="2"/>
    <x v="5"/>
    <s v="Tamil Nadu"/>
    <x v="1"/>
    <x v="2"/>
    <x v="1"/>
    <n v="26031.8"/>
    <n v="8"/>
    <n v="0.13"/>
    <n v="911.11"/>
  </r>
  <r>
    <s v="ORD1175"/>
    <x v="136"/>
    <s v="CUST543"/>
    <s v="Ankit Roy"/>
    <x v="1"/>
    <x v="4"/>
    <s v="Karnataka"/>
    <x v="3"/>
    <x v="2"/>
    <x v="2"/>
    <n v="1677.17"/>
    <n v="9"/>
    <n v="0.27"/>
    <n v="-58.7"/>
  </r>
  <r>
    <s v="ORD1746"/>
    <x v="136"/>
    <s v="CUST586"/>
    <s v="Neha Singh"/>
    <x v="1"/>
    <x v="0"/>
    <s v="Maharashtra"/>
    <x v="0"/>
    <x v="2"/>
    <x v="6"/>
    <n v="29775.9"/>
    <n v="5"/>
    <n v="0.11"/>
    <n v="1339.92"/>
  </r>
  <r>
    <s v="ORD2045"/>
    <x v="136"/>
    <s v="CUST670"/>
    <s v="Neha Singh"/>
    <x v="0"/>
    <x v="3"/>
    <s v="Telangana"/>
    <x v="2"/>
    <x v="1"/>
    <x v="6"/>
    <n v="1403.99"/>
    <n v="6"/>
    <n v="0.2"/>
    <n v="0"/>
  </r>
  <r>
    <s v="ORD1511"/>
    <x v="137"/>
    <s v="CUST498"/>
    <s v="Amit Sharma"/>
    <x v="2"/>
    <x v="0"/>
    <s v="Maharashtra"/>
    <x v="0"/>
    <x v="2"/>
    <x v="0"/>
    <n v="36575.46"/>
    <n v="10"/>
    <n v="0.25"/>
    <n v="-914.39"/>
  </r>
  <r>
    <s v="ORD1680"/>
    <x v="137"/>
    <s v="CUST391"/>
    <s v="Amit Sharma"/>
    <x v="1"/>
    <x v="5"/>
    <s v="Tamil Nadu"/>
    <x v="1"/>
    <x v="1"/>
    <x v="0"/>
    <n v="13385.65"/>
    <n v="8"/>
    <n v="0.06"/>
    <n v="937"/>
  </r>
  <r>
    <s v="ORD2225"/>
    <x v="137"/>
    <s v="CUST855"/>
    <s v="Sneha Paul"/>
    <x v="1"/>
    <x v="4"/>
    <s v="Karnataka"/>
    <x v="3"/>
    <x v="2"/>
    <x v="0"/>
    <n v="26516.86"/>
    <n v="4"/>
    <n v="0.25"/>
    <n v="-662.92"/>
  </r>
  <r>
    <s v="ORD1112"/>
    <x v="138"/>
    <s v="CUST533"/>
    <s v="Ankit Roy"/>
    <x v="0"/>
    <x v="4"/>
    <s v="Karnataka"/>
    <x v="3"/>
    <x v="2"/>
    <x v="6"/>
    <n v="4281.75"/>
    <n v="8"/>
    <n v="0.01"/>
    <n v="406.77"/>
  </r>
  <r>
    <s v="ORD1561"/>
    <x v="138"/>
    <s v="CUST511"/>
    <s v="Amit Sharma"/>
    <x v="1"/>
    <x v="3"/>
    <s v="Telangana"/>
    <x v="2"/>
    <x v="1"/>
    <x v="1"/>
    <n v="26398.799999999999"/>
    <n v="6"/>
    <n v="0.16"/>
    <n v="527.98"/>
  </r>
  <r>
    <s v="ORD1739"/>
    <x v="139"/>
    <s v="CUST649"/>
    <s v="Amit Sharma"/>
    <x v="0"/>
    <x v="4"/>
    <s v="Karnataka"/>
    <x v="3"/>
    <x v="2"/>
    <x v="0"/>
    <n v="8066.05"/>
    <n v="8"/>
    <n v="0.04"/>
    <n v="645.28"/>
  </r>
  <r>
    <s v="ORD2027"/>
    <x v="139"/>
    <s v="CUST658"/>
    <s v="Ravi Kumar"/>
    <x v="0"/>
    <x v="2"/>
    <s v="Delhi"/>
    <x v="2"/>
    <x v="1"/>
    <x v="6"/>
    <n v="35721.06"/>
    <n v="1"/>
    <n v="0.09"/>
    <n v="1964.66"/>
  </r>
  <r>
    <s v="ORD1290"/>
    <x v="140"/>
    <s v="CUST120"/>
    <s v="Pooja Verma"/>
    <x v="0"/>
    <x v="4"/>
    <s v="Karnataka"/>
    <x v="3"/>
    <x v="0"/>
    <x v="2"/>
    <n v="38102.9"/>
    <n v="5"/>
    <n v="0.12"/>
    <n v="1524.12"/>
  </r>
  <r>
    <s v="ORD1614"/>
    <x v="140"/>
    <s v="CUST734"/>
    <s v="Amit Sharma"/>
    <x v="1"/>
    <x v="0"/>
    <s v="Maharashtra"/>
    <x v="0"/>
    <x v="2"/>
    <x v="6"/>
    <n v="48556.24"/>
    <n v="3"/>
    <n v="0.23"/>
    <n v="-728.34"/>
  </r>
  <r>
    <s v="ORD1788"/>
    <x v="140"/>
    <s v="CUST214"/>
    <s v="Ankit Roy"/>
    <x v="2"/>
    <x v="3"/>
    <s v="Telangana"/>
    <x v="2"/>
    <x v="0"/>
    <x v="2"/>
    <n v="18200.04"/>
    <n v="4"/>
    <n v="0.14000000000000001"/>
    <n v="546"/>
  </r>
  <r>
    <s v="ORD1409"/>
    <x v="141"/>
    <s v="CUST390"/>
    <s v="Rahul Das"/>
    <x v="2"/>
    <x v="5"/>
    <s v="Tamil Nadu"/>
    <x v="1"/>
    <x v="1"/>
    <x v="2"/>
    <n v="19539.32"/>
    <n v="1"/>
    <n v="0.06"/>
    <n v="1367.75"/>
  </r>
  <r>
    <s v="ORD1644"/>
    <x v="141"/>
    <s v="CUST207"/>
    <s v="Pooja Verma"/>
    <x v="2"/>
    <x v="0"/>
    <s v="Maharashtra"/>
    <x v="0"/>
    <x v="2"/>
    <x v="2"/>
    <n v="10644.95"/>
    <n v="4"/>
    <n v="0.24"/>
    <n v="-212.9"/>
  </r>
  <r>
    <s v="ORD1921"/>
    <x v="141"/>
    <s v="CUST471"/>
    <s v="Rahul Das"/>
    <x v="2"/>
    <x v="3"/>
    <s v="Telangana"/>
    <x v="2"/>
    <x v="0"/>
    <x v="3"/>
    <n v="28412.11"/>
    <n v="3"/>
    <n v="0.01"/>
    <n v="2699.15"/>
  </r>
  <r>
    <s v="ORD2380"/>
    <x v="141"/>
    <s v="CUST977"/>
    <s v="Neha Singh"/>
    <x v="1"/>
    <x v="2"/>
    <s v="Delhi"/>
    <x v="2"/>
    <x v="1"/>
    <x v="2"/>
    <n v="23556.37"/>
    <n v="7"/>
    <n v="0.05"/>
    <n v="1766.73"/>
  </r>
  <r>
    <s v="ORD1081"/>
    <x v="142"/>
    <s v="CUST899"/>
    <s v="Rahul Das"/>
    <x v="2"/>
    <x v="0"/>
    <s v="Maharashtra"/>
    <x v="0"/>
    <x v="2"/>
    <x v="0"/>
    <n v="17687.939999999999"/>
    <n v="6"/>
    <n v="0.01"/>
    <n v="1680.35"/>
  </r>
  <r>
    <s v="ORD1695"/>
    <x v="142"/>
    <s v="CUST455"/>
    <s v="Amit Sharma"/>
    <x v="2"/>
    <x v="1"/>
    <s v="West Bengal"/>
    <x v="1"/>
    <x v="1"/>
    <x v="0"/>
    <n v="26619.87"/>
    <n v="1"/>
    <n v="0.18"/>
    <n v="266.2"/>
  </r>
  <r>
    <s v="ORD2072"/>
    <x v="142"/>
    <s v="CUST325"/>
    <s v="Pooja Verma"/>
    <x v="0"/>
    <x v="2"/>
    <s v="Delhi"/>
    <x v="2"/>
    <x v="2"/>
    <x v="3"/>
    <n v="28550.82"/>
    <n v="9"/>
    <n v="0.09"/>
    <n v="1570.3"/>
  </r>
  <r>
    <s v="ORD2449"/>
    <x v="142"/>
    <s v="CUST737"/>
    <s v="Rahul Das"/>
    <x v="1"/>
    <x v="5"/>
    <s v="Tamil Nadu"/>
    <x v="1"/>
    <x v="2"/>
    <x v="0"/>
    <n v="10388.93"/>
    <n v="6"/>
    <n v="0.09"/>
    <n v="571.39"/>
  </r>
  <r>
    <s v="ORD1458"/>
    <x v="143"/>
    <s v="CUST509"/>
    <s v="Neha Singh"/>
    <x v="2"/>
    <x v="2"/>
    <s v="Delhi"/>
    <x v="2"/>
    <x v="2"/>
    <x v="5"/>
    <n v="35854.660000000003"/>
    <n v="3"/>
    <n v="0.03"/>
    <n v="3047.65"/>
  </r>
  <r>
    <s v="ORD2113"/>
    <x v="143"/>
    <s v="CUST207"/>
    <s v="Sneha Paul"/>
    <x v="0"/>
    <x v="4"/>
    <s v="Karnataka"/>
    <x v="3"/>
    <x v="0"/>
    <x v="1"/>
    <n v="21266.080000000002"/>
    <n v="4"/>
    <n v="0.23"/>
    <n v="-318.99"/>
  </r>
  <r>
    <s v="ORD2330"/>
    <x v="143"/>
    <s v="CUST550"/>
    <s v="Ravi Kumar"/>
    <x v="0"/>
    <x v="4"/>
    <s v="Karnataka"/>
    <x v="3"/>
    <x v="0"/>
    <x v="1"/>
    <n v="38048.83"/>
    <n v="10"/>
    <n v="0.18"/>
    <n v="380.49"/>
  </r>
  <r>
    <s v="ORD2436"/>
    <x v="143"/>
    <s v="CUST665"/>
    <s v="Neha Singh"/>
    <x v="2"/>
    <x v="5"/>
    <s v="Tamil Nadu"/>
    <x v="1"/>
    <x v="0"/>
    <x v="3"/>
    <n v="13105.07"/>
    <n v="8"/>
    <n v="0.25"/>
    <n v="-327.63"/>
  </r>
  <r>
    <s v="ORD1552"/>
    <x v="144"/>
    <s v="CUST117"/>
    <s v="Ravi Kumar"/>
    <x v="0"/>
    <x v="5"/>
    <s v="Tamil Nadu"/>
    <x v="1"/>
    <x v="2"/>
    <x v="3"/>
    <n v="1713.59"/>
    <n v="7"/>
    <n v="0.16"/>
    <n v="34.270000000000003"/>
  </r>
  <r>
    <s v="ORD1911"/>
    <x v="144"/>
    <s v="CUST194"/>
    <s v="Sneha Paul"/>
    <x v="1"/>
    <x v="2"/>
    <s v="Delhi"/>
    <x v="2"/>
    <x v="1"/>
    <x v="3"/>
    <n v="39118.160000000003"/>
    <n v="4"/>
    <n v="7.0000000000000007E-2"/>
    <n v="2542.6799999999998"/>
  </r>
  <r>
    <s v="ORD1232"/>
    <x v="145"/>
    <s v="CUST894"/>
    <s v="Ravi Kumar"/>
    <x v="1"/>
    <x v="3"/>
    <s v="Telangana"/>
    <x v="2"/>
    <x v="0"/>
    <x v="4"/>
    <n v="25124.59"/>
    <n v="1"/>
    <n v="0.05"/>
    <n v="1884.34"/>
  </r>
  <r>
    <s v="ORD1926"/>
    <x v="145"/>
    <s v="CUST658"/>
    <s v="Sneha Paul"/>
    <x v="0"/>
    <x v="0"/>
    <s v="Maharashtra"/>
    <x v="0"/>
    <x v="1"/>
    <x v="1"/>
    <n v="21463.38"/>
    <n v="7"/>
    <n v="0.15"/>
    <n v="536.58000000000004"/>
  </r>
  <r>
    <s v="ORD2081"/>
    <x v="145"/>
    <s v="CUST267"/>
    <s v="Ravi Kumar"/>
    <x v="0"/>
    <x v="0"/>
    <s v="Maharashtra"/>
    <x v="0"/>
    <x v="0"/>
    <x v="2"/>
    <n v="46625.07"/>
    <n v="3"/>
    <n v="0.16"/>
    <n v="932.5"/>
  </r>
  <r>
    <s v="ORD2480"/>
    <x v="145"/>
    <s v="CUST527"/>
    <s v="Amit Sharma"/>
    <x v="1"/>
    <x v="3"/>
    <s v="Telangana"/>
    <x v="2"/>
    <x v="0"/>
    <x v="2"/>
    <n v="17193.099999999999"/>
    <n v="10"/>
    <n v="0.16"/>
    <n v="343.86"/>
  </r>
  <r>
    <s v="ORD1464"/>
    <x v="146"/>
    <s v="CUST288"/>
    <s v="Sneha Paul"/>
    <x v="2"/>
    <x v="3"/>
    <s v="Telangana"/>
    <x v="2"/>
    <x v="2"/>
    <x v="5"/>
    <n v="3943.52"/>
    <n v="5"/>
    <n v="0.18"/>
    <n v="39.44"/>
  </r>
  <r>
    <s v="ORD1889"/>
    <x v="146"/>
    <s v="CUST372"/>
    <s v="Neha Singh"/>
    <x v="2"/>
    <x v="3"/>
    <s v="Telangana"/>
    <x v="2"/>
    <x v="0"/>
    <x v="6"/>
    <n v="44937.27"/>
    <n v="10"/>
    <n v="0.28000000000000003"/>
    <n v="-1797.49"/>
  </r>
  <r>
    <s v="ORD1052"/>
    <x v="147"/>
    <s v="CUST301"/>
    <s v="Pooja Verma"/>
    <x v="1"/>
    <x v="4"/>
    <s v="Karnataka"/>
    <x v="3"/>
    <x v="1"/>
    <x v="6"/>
    <n v="1888.83"/>
    <n v="3"/>
    <n v="0.28000000000000003"/>
    <n v="-75.55"/>
  </r>
  <r>
    <s v="ORD1436"/>
    <x v="147"/>
    <s v="CUST741"/>
    <s v="Pooja Verma"/>
    <x v="1"/>
    <x v="0"/>
    <s v="Maharashtra"/>
    <x v="0"/>
    <x v="0"/>
    <x v="0"/>
    <n v="25605.1"/>
    <n v="3"/>
    <n v="0.3"/>
    <n v="-1280.25"/>
  </r>
  <r>
    <s v="ORD1744"/>
    <x v="147"/>
    <s v="CUST921"/>
    <s v="Pooja Verma"/>
    <x v="0"/>
    <x v="1"/>
    <s v="West Bengal"/>
    <x v="1"/>
    <x v="2"/>
    <x v="4"/>
    <n v="17077.900000000001"/>
    <n v="6"/>
    <n v="0.17"/>
    <n v="256.17"/>
  </r>
  <r>
    <s v="ORD1942"/>
    <x v="147"/>
    <s v="CUST188"/>
    <s v="Ankit Roy"/>
    <x v="2"/>
    <x v="5"/>
    <s v="Tamil Nadu"/>
    <x v="1"/>
    <x v="1"/>
    <x v="4"/>
    <n v="5221.09"/>
    <n v="6"/>
    <n v="0.28000000000000003"/>
    <n v="-208.84"/>
  </r>
  <r>
    <s v="ORD1943"/>
    <x v="147"/>
    <s v="CUST670"/>
    <s v="Ravi Kumar"/>
    <x v="2"/>
    <x v="1"/>
    <s v="West Bengal"/>
    <x v="1"/>
    <x v="2"/>
    <x v="5"/>
    <n v="47367.68"/>
    <n v="9"/>
    <n v="0.01"/>
    <n v="4499.93"/>
  </r>
  <r>
    <s v="ORD2429"/>
    <x v="147"/>
    <s v="CUST961"/>
    <s v="Rahul Das"/>
    <x v="0"/>
    <x v="1"/>
    <s v="West Bengal"/>
    <x v="1"/>
    <x v="1"/>
    <x v="1"/>
    <n v="22552.66"/>
    <n v="8"/>
    <n v="7.0000000000000007E-2"/>
    <n v="1465.92"/>
  </r>
  <r>
    <s v="ORD1114"/>
    <x v="148"/>
    <s v="CUST809"/>
    <s v="Amit Sharma"/>
    <x v="0"/>
    <x v="2"/>
    <s v="Delhi"/>
    <x v="2"/>
    <x v="0"/>
    <x v="6"/>
    <n v="25791.71"/>
    <n v="10"/>
    <n v="0.08"/>
    <n v="1547.5"/>
  </r>
  <r>
    <s v="ORD1778"/>
    <x v="148"/>
    <s v="CUST550"/>
    <s v="Amit Sharma"/>
    <x v="1"/>
    <x v="3"/>
    <s v="Telangana"/>
    <x v="2"/>
    <x v="2"/>
    <x v="6"/>
    <n v="48943.77"/>
    <n v="10"/>
    <n v="0.26"/>
    <n v="-1468.31"/>
  </r>
  <r>
    <s v="ORD1139"/>
    <x v="149"/>
    <s v="CUST621"/>
    <s v="Neha Singh"/>
    <x v="1"/>
    <x v="1"/>
    <s v="West Bengal"/>
    <x v="1"/>
    <x v="2"/>
    <x v="4"/>
    <n v="29476.74"/>
    <n v="7"/>
    <n v="0.03"/>
    <n v="2505.52"/>
  </r>
  <r>
    <s v="ORD1504"/>
    <x v="149"/>
    <s v="CUST910"/>
    <s v="Amit Sharma"/>
    <x v="2"/>
    <x v="5"/>
    <s v="Tamil Nadu"/>
    <x v="1"/>
    <x v="2"/>
    <x v="3"/>
    <n v="13465.7"/>
    <n v="2"/>
    <n v="7.0000000000000007E-2"/>
    <n v="875.27"/>
  </r>
  <r>
    <s v="ORD1764"/>
    <x v="150"/>
    <s v="CUST460"/>
    <s v="Sneha Paul"/>
    <x v="1"/>
    <x v="3"/>
    <s v="Telangana"/>
    <x v="2"/>
    <x v="1"/>
    <x v="3"/>
    <n v="1128.06"/>
    <n v="8"/>
    <n v="0.18"/>
    <n v="11.28"/>
  </r>
  <r>
    <s v="ORD1170"/>
    <x v="151"/>
    <s v="CUST737"/>
    <s v="Sneha Paul"/>
    <x v="2"/>
    <x v="3"/>
    <s v="Telangana"/>
    <x v="2"/>
    <x v="2"/>
    <x v="3"/>
    <n v="6519.01"/>
    <n v="7"/>
    <n v="0.14000000000000001"/>
    <n v="195.57"/>
  </r>
  <r>
    <s v="ORD1400"/>
    <x v="151"/>
    <s v="CUST324"/>
    <s v="Ravi Kumar"/>
    <x v="1"/>
    <x v="2"/>
    <s v="Delhi"/>
    <x v="2"/>
    <x v="1"/>
    <x v="0"/>
    <n v="7686.12"/>
    <n v="4"/>
    <n v="0.19"/>
    <n v="38.43"/>
  </r>
  <r>
    <s v="ORD1591"/>
    <x v="151"/>
    <s v="CUST457"/>
    <s v="Pooja Verma"/>
    <x v="0"/>
    <x v="0"/>
    <s v="Maharashtra"/>
    <x v="0"/>
    <x v="1"/>
    <x v="4"/>
    <n v="36672.5"/>
    <n v="7"/>
    <n v="0.05"/>
    <n v="2750.44"/>
  </r>
  <r>
    <s v="ORD1714"/>
    <x v="151"/>
    <s v="CUST531"/>
    <s v="Neha Singh"/>
    <x v="2"/>
    <x v="5"/>
    <s v="Tamil Nadu"/>
    <x v="1"/>
    <x v="0"/>
    <x v="3"/>
    <n v="36493.99"/>
    <n v="9"/>
    <n v="0.09"/>
    <n v="2007.17"/>
  </r>
  <r>
    <s v="ORD2055"/>
    <x v="151"/>
    <s v="CUST778"/>
    <s v="Rahul Das"/>
    <x v="2"/>
    <x v="3"/>
    <s v="Telangana"/>
    <x v="2"/>
    <x v="0"/>
    <x v="1"/>
    <n v="17310.13"/>
    <n v="10"/>
    <n v="7.0000000000000007E-2"/>
    <n v="1125.1600000000001"/>
  </r>
  <r>
    <s v="ORD2286"/>
    <x v="151"/>
    <s v="CUST688"/>
    <s v="Pooja Verma"/>
    <x v="2"/>
    <x v="0"/>
    <s v="Maharashtra"/>
    <x v="0"/>
    <x v="0"/>
    <x v="1"/>
    <n v="21744.59"/>
    <n v="6"/>
    <n v="0.13"/>
    <n v="761.06"/>
  </r>
  <r>
    <s v="ORD1366"/>
    <x v="152"/>
    <s v="CUST721"/>
    <s v="Pooja Verma"/>
    <x v="0"/>
    <x v="5"/>
    <s v="Tamil Nadu"/>
    <x v="1"/>
    <x v="1"/>
    <x v="2"/>
    <n v="1090.96"/>
    <n v="3"/>
    <n v="0.14000000000000001"/>
    <n v="32.729999999999997"/>
  </r>
  <r>
    <s v="ORD1757"/>
    <x v="153"/>
    <s v="CUST224"/>
    <s v="Pooja Verma"/>
    <x v="2"/>
    <x v="4"/>
    <s v="Karnataka"/>
    <x v="3"/>
    <x v="2"/>
    <x v="0"/>
    <n v="11982.37"/>
    <n v="5"/>
    <n v="0.2"/>
    <n v="0"/>
  </r>
  <r>
    <s v="ORD2332"/>
    <x v="153"/>
    <s v="CUST310"/>
    <s v="Sneha Paul"/>
    <x v="1"/>
    <x v="3"/>
    <s v="Telangana"/>
    <x v="2"/>
    <x v="0"/>
    <x v="3"/>
    <n v="23515.54"/>
    <n v="4"/>
    <n v="0.05"/>
    <n v="1763.67"/>
  </r>
  <r>
    <s v="ORD1031"/>
    <x v="154"/>
    <s v="CUST805"/>
    <s v="Rahul Das"/>
    <x v="2"/>
    <x v="0"/>
    <s v="Maharashtra"/>
    <x v="0"/>
    <x v="2"/>
    <x v="2"/>
    <n v="38486.6"/>
    <n v="3"/>
    <n v="0.08"/>
    <n v="2309.1999999999998"/>
  </r>
  <r>
    <s v="ORD1068"/>
    <x v="154"/>
    <s v="CUST353"/>
    <s v="Pooja Verma"/>
    <x v="0"/>
    <x v="3"/>
    <s v="Telangana"/>
    <x v="2"/>
    <x v="2"/>
    <x v="0"/>
    <n v="39101.1"/>
    <n v="4"/>
    <n v="0.27"/>
    <n v="-1368.54"/>
  </r>
  <r>
    <s v="ORD1125"/>
    <x v="155"/>
    <s v="CUST608"/>
    <s v="Pooja Verma"/>
    <x v="1"/>
    <x v="3"/>
    <s v="Telangana"/>
    <x v="2"/>
    <x v="0"/>
    <x v="6"/>
    <n v="23845.05"/>
    <n v="2"/>
    <n v="0.3"/>
    <n v="-1192.25"/>
  </r>
  <r>
    <s v="ORD1331"/>
    <x v="156"/>
    <s v="CUST917"/>
    <s v="Ravi Kumar"/>
    <x v="1"/>
    <x v="2"/>
    <s v="Delhi"/>
    <x v="2"/>
    <x v="2"/>
    <x v="3"/>
    <n v="10160.290000000001"/>
    <n v="3"/>
    <n v="0.12"/>
    <n v="406.41"/>
  </r>
  <r>
    <s v="ORD1566"/>
    <x v="156"/>
    <s v="CUST998"/>
    <s v="Pooja Verma"/>
    <x v="2"/>
    <x v="3"/>
    <s v="Telangana"/>
    <x v="2"/>
    <x v="0"/>
    <x v="0"/>
    <n v="37250.800000000003"/>
    <n v="9"/>
    <n v="0.13"/>
    <n v="1303.78"/>
  </r>
  <r>
    <s v="ORD1618"/>
    <x v="157"/>
    <s v="CUST716"/>
    <s v="Pooja Verma"/>
    <x v="1"/>
    <x v="1"/>
    <s v="West Bengal"/>
    <x v="1"/>
    <x v="0"/>
    <x v="1"/>
    <n v="4834.42"/>
    <n v="7"/>
    <n v="0.22"/>
    <n v="-48.34"/>
  </r>
  <r>
    <s v="ORD1697"/>
    <x v="157"/>
    <s v="CUST508"/>
    <s v="Rahul Das"/>
    <x v="0"/>
    <x v="1"/>
    <s v="West Bengal"/>
    <x v="1"/>
    <x v="0"/>
    <x v="4"/>
    <n v="5678.05"/>
    <n v="6"/>
    <n v="0.17"/>
    <n v="85.17"/>
  </r>
  <r>
    <s v="ORD2099"/>
    <x v="157"/>
    <s v="CUST861"/>
    <s v="Neha Singh"/>
    <x v="1"/>
    <x v="5"/>
    <s v="Tamil Nadu"/>
    <x v="1"/>
    <x v="0"/>
    <x v="5"/>
    <n v="16221.71"/>
    <n v="4"/>
    <n v="0.05"/>
    <n v="1216.6300000000001"/>
  </r>
  <r>
    <s v="ORD1556"/>
    <x v="158"/>
    <s v="CUST510"/>
    <s v="Pooja Verma"/>
    <x v="2"/>
    <x v="0"/>
    <s v="Maharashtra"/>
    <x v="0"/>
    <x v="1"/>
    <x v="1"/>
    <n v="33619.870000000003"/>
    <n v="5"/>
    <n v="0.1"/>
    <n v="1680.99"/>
  </r>
  <r>
    <s v="ORD1605"/>
    <x v="158"/>
    <s v="CUST752"/>
    <s v="Sneha Paul"/>
    <x v="2"/>
    <x v="2"/>
    <s v="Delhi"/>
    <x v="2"/>
    <x v="2"/>
    <x v="6"/>
    <n v="1096.47"/>
    <n v="1"/>
    <n v="0.02"/>
    <n v="98.68"/>
  </r>
  <r>
    <s v="ORD1768"/>
    <x v="159"/>
    <s v="CUST928"/>
    <s v="Neha Singh"/>
    <x v="2"/>
    <x v="0"/>
    <s v="Maharashtra"/>
    <x v="0"/>
    <x v="1"/>
    <x v="5"/>
    <n v="31148.02"/>
    <n v="2"/>
    <n v="0.04"/>
    <n v="2491.84"/>
  </r>
  <r>
    <s v="ORD1810"/>
    <x v="159"/>
    <s v="CUST166"/>
    <s v="Ravi Kumar"/>
    <x v="2"/>
    <x v="5"/>
    <s v="Tamil Nadu"/>
    <x v="1"/>
    <x v="0"/>
    <x v="5"/>
    <n v="4403.87"/>
    <n v="9"/>
    <n v="0.22"/>
    <n v="-44.04"/>
  </r>
  <r>
    <s v="ORD1875"/>
    <x v="160"/>
    <s v="CUST420"/>
    <s v="Neha Singh"/>
    <x v="2"/>
    <x v="1"/>
    <s v="West Bengal"/>
    <x v="1"/>
    <x v="2"/>
    <x v="1"/>
    <n v="46045.15"/>
    <n v="10"/>
    <n v="0.04"/>
    <n v="3683.61"/>
  </r>
  <r>
    <s v="ORD1330"/>
    <x v="161"/>
    <s v="CUST215"/>
    <s v="Amit Sharma"/>
    <x v="2"/>
    <x v="1"/>
    <s v="West Bengal"/>
    <x v="1"/>
    <x v="1"/>
    <x v="5"/>
    <n v="45334.38"/>
    <n v="2"/>
    <n v="0.23"/>
    <n v="-680.02"/>
  </r>
  <r>
    <s v="ORD2296"/>
    <x v="161"/>
    <s v="CUST979"/>
    <s v="Rahul Das"/>
    <x v="1"/>
    <x v="2"/>
    <s v="Delhi"/>
    <x v="2"/>
    <x v="0"/>
    <x v="1"/>
    <n v="5071.12"/>
    <n v="2"/>
    <n v="0.09"/>
    <n v="278.91000000000003"/>
  </r>
  <r>
    <s v="ORD1650"/>
    <x v="162"/>
    <s v="CUST626"/>
    <s v="Ankit Roy"/>
    <x v="0"/>
    <x v="3"/>
    <s v="Telangana"/>
    <x v="2"/>
    <x v="2"/>
    <x v="2"/>
    <n v="28853.95"/>
    <n v="3"/>
    <n v="0.16"/>
    <n v="577.08000000000004"/>
  </r>
  <r>
    <s v="ORD1740"/>
    <x v="162"/>
    <s v="CUST135"/>
    <s v="Ankit Roy"/>
    <x v="1"/>
    <x v="0"/>
    <s v="Maharashtra"/>
    <x v="0"/>
    <x v="2"/>
    <x v="2"/>
    <n v="34243.019999999997"/>
    <n v="3"/>
    <n v="0.05"/>
    <n v="2568.23"/>
  </r>
  <r>
    <s v="ORD2277"/>
    <x v="162"/>
    <s v="CUST178"/>
    <s v="Pooja Verma"/>
    <x v="0"/>
    <x v="4"/>
    <s v="Karnataka"/>
    <x v="3"/>
    <x v="1"/>
    <x v="6"/>
    <n v="28828.42"/>
    <n v="1"/>
    <n v="0.13"/>
    <n v="1008.99"/>
  </r>
  <r>
    <s v="ORD2133"/>
    <x v="163"/>
    <s v="CUST243"/>
    <s v="Amit Sharma"/>
    <x v="2"/>
    <x v="2"/>
    <s v="Delhi"/>
    <x v="2"/>
    <x v="1"/>
    <x v="3"/>
    <n v="29758.77"/>
    <n v="10"/>
    <n v="0"/>
    <n v="2975.88"/>
  </r>
  <r>
    <s v="ORD2115"/>
    <x v="164"/>
    <s v="CUST276"/>
    <s v="Ankit Roy"/>
    <x v="1"/>
    <x v="1"/>
    <s v="West Bengal"/>
    <x v="1"/>
    <x v="0"/>
    <x v="3"/>
    <n v="45044.49"/>
    <n v="9"/>
    <n v="0.01"/>
    <n v="4279.2299999999996"/>
  </r>
  <r>
    <s v="ORD2461"/>
    <x v="164"/>
    <s v="CUST752"/>
    <s v="Rahul Das"/>
    <x v="2"/>
    <x v="1"/>
    <s v="West Bengal"/>
    <x v="1"/>
    <x v="2"/>
    <x v="4"/>
    <n v="40296.120000000003"/>
    <n v="6"/>
    <n v="0.16"/>
    <n v="805.92"/>
  </r>
  <r>
    <s v="ORD2479"/>
    <x v="164"/>
    <s v="CUST216"/>
    <s v="Rahul Das"/>
    <x v="2"/>
    <x v="2"/>
    <s v="Delhi"/>
    <x v="2"/>
    <x v="1"/>
    <x v="0"/>
    <n v="6627.44"/>
    <n v="6"/>
    <n v="0.12"/>
    <n v="265.10000000000002"/>
  </r>
  <r>
    <s v="ORD2341"/>
    <x v="165"/>
    <s v="CUST994"/>
    <s v="Amit Sharma"/>
    <x v="2"/>
    <x v="1"/>
    <s v="West Bengal"/>
    <x v="1"/>
    <x v="2"/>
    <x v="3"/>
    <n v="2301.86"/>
    <n v="2"/>
    <n v="0.25"/>
    <n v="-57.55"/>
  </r>
  <r>
    <s v="ORD1165"/>
    <x v="166"/>
    <s v="CUST373"/>
    <s v="Pooja Verma"/>
    <x v="1"/>
    <x v="4"/>
    <s v="Karnataka"/>
    <x v="3"/>
    <x v="2"/>
    <x v="2"/>
    <n v="31900.06"/>
    <n v="4"/>
    <n v="0.04"/>
    <n v="2552"/>
  </r>
  <r>
    <s v="ORD1567"/>
    <x v="166"/>
    <s v="CUST299"/>
    <s v="Sneha Paul"/>
    <x v="1"/>
    <x v="0"/>
    <s v="Maharashtra"/>
    <x v="0"/>
    <x v="0"/>
    <x v="6"/>
    <n v="24896.09"/>
    <n v="2"/>
    <n v="0.28000000000000003"/>
    <n v="-995.84"/>
  </r>
  <r>
    <s v="ORD1582"/>
    <x v="166"/>
    <s v="CUST210"/>
    <s v="Neha Singh"/>
    <x v="2"/>
    <x v="0"/>
    <s v="Maharashtra"/>
    <x v="0"/>
    <x v="1"/>
    <x v="0"/>
    <n v="11096.96"/>
    <n v="5"/>
    <n v="0.01"/>
    <n v="1054.21"/>
  </r>
  <r>
    <s v="ORD1645"/>
    <x v="166"/>
    <s v="CUST627"/>
    <s v="Ankit Roy"/>
    <x v="0"/>
    <x v="1"/>
    <s v="West Bengal"/>
    <x v="1"/>
    <x v="0"/>
    <x v="3"/>
    <n v="4278.07"/>
    <n v="6"/>
    <n v="0.08"/>
    <n v="256.68"/>
  </r>
  <r>
    <s v="ORD1285"/>
    <x v="167"/>
    <s v="CUST965"/>
    <s v="Amit Sharma"/>
    <x v="0"/>
    <x v="0"/>
    <s v="Maharashtra"/>
    <x v="0"/>
    <x v="2"/>
    <x v="4"/>
    <n v="48521.23"/>
    <n v="8"/>
    <n v="7.0000000000000007E-2"/>
    <n v="3153.88"/>
  </r>
  <r>
    <s v="ORD1307"/>
    <x v="167"/>
    <s v="CUST584"/>
    <s v="Neha Singh"/>
    <x v="1"/>
    <x v="3"/>
    <s v="Telangana"/>
    <x v="2"/>
    <x v="1"/>
    <x v="2"/>
    <n v="45489.599999999999"/>
    <n v="2"/>
    <n v="0.06"/>
    <n v="3184.27"/>
  </r>
  <r>
    <s v="ORD1584"/>
    <x v="167"/>
    <s v="CUST624"/>
    <s v="Rahul Das"/>
    <x v="0"/>
    <x v="3"/>
    <s v="Telangana"/>
    <x v="2"/>
    <x v="0"/>
    <x v="3"/>
    <n v="41714.480000000003"/>
    <n v="5"/>
    <n v="0.19"/>
    <n v="208.57"/>
  </r>
  <r>
    <s v="ORD1663"/>
    <x v="167"/>
    <s v="CUST507"/>
    <s v="Rahul Das"/>
    <x v="2"/>
    <x v="5"/>
    <s v="Tamil Nadu"/>
    <x v="1"/>
    <x v="1"/>
    <x v="3"/>
    <n v="37638.160000000003"/>
    <n v="9"/>
    <n v="0"/>
    <n v="3763.82"/>
  </r>
  <r>
    <s v="ORD1704"/>
    <x v="167"/>
    <s v="CUST163"/>
    <s v="Ankit Roy"/>
    <x v="1"/>
    <x v="4"/>
    <s v="Karnataka"/>
    <x v="3"/>
    <x v="2"/>
    <x v="1"/>
    <n v="27484.14"/>
    <n v="5"/>
    <n v="0.26"/>
    <n v="-824.52"/>
  </r>
  <r>
    <s v="ORD1247"/>
    <x v="168"/>
    <s v="CUST460"/>
    <s v="Rahul Das"/>
    <x v="0"/>
    <x v="2"/>
    <s v="Delhi"/>
    <x v="2"/>
    <x v="1"/>
    <x v="2"/>
    <n v="14180.69"/>
    <n v="7"/>
    <n v="0.2"/>
    <n v="0"/>
  </r>
  <r>
    <s v="ORD1327"/>
    <x v="168"/>
    <s v="CUST899"/>
    <s v="Neha Singh"/>
    <x v="2"/>
    <x v="1"/>
    <s v="West Bengal"/>
    <x v="1"/>
    <x v="2"/>
    <x v="5"/>
    <n v="25216.79"/>
    <n v="9"/>
    <n v="0.18"/>
    <n v="252.17"/>
  </r>
  <r>
    <s v="ORD1394"/>
    <x v="168"/>
    <s v="CUST803"/>
    <s v="Neha Singh"/>
    <x v="2"/>
    <x v="2"/>
    <s v="Delhi"/>
    <x v="2"/>
    <x v="0"/>
    <x v="6"/>
    <n v="25765.09"/>
    <n v="8"/>
    <n v="0.28999999999999998"/>
    <n v="-1159.43"/>
  </r>
  <r>
    <s v="ORD2141"/>
    <x v="168"/>
    <s v="CUST958"/>
    <s v="Amit Sharma"/>
    <x v="2"/>
    <x v="4"/>
    <s v="Karnataka"/>
    <x v="3"/>
    <x v="1"/>
    <x v="1"/>
    <n v="5879.89"/>
    <n v="7"/>
    <n v="0.16"/>
    <n v="117.6"/>
  </r>
  <r>
    <s v="ORD2199"/>
    <x v="168"/>
    <s v="CUST745"/>
    <s v="Pooja Verma"/>
    <x v="1"/>
    <x v="0"/>
    <s v="Maharashtra"/>
    <x v="0"/>
    <x v="1"/>
    <x v="6"/>
    <n v="13345.65"/>
    <n v="8"/>
    <n v="0.2"/>
    <n v="0"/>
  </r>
  <r>
    <s v="ORD2315"/>
    <x v="168"/>
    <s v="CUST847"/>
    <s v="Amit Sharma"/>
    <x v="0"/>
    <x v="3"/>
    <s v="Telangana"/>
    <x v="2"/>
    <x v="1"/>
    <x v="3"/>
    <n v="19736.34"/>
    <n v="3"/>
    <n v="0.18"/>
    <n v="197.36"/>
  </r>
  <r>
    <s v="ORD1456"/>
    <x v="169"/>
    <s v="CUST340"/>
    <s v="Sneha Paul"/>
    <x v="1"/>
    <x v="2"/>
    <s v="Delhi"/>
    <x v="2"/>
    <x v="0"/>
    <x v="4"/>
    <n v="36956.49"/>
    <n v="6"/>
    <n v="0.13"/>
    <n v="1293.48"/>
  </r>
  <r>
    <s v="ORD1983"/>
    <x v="169"/>
    <s v="CUST530"/>
    <s v="Sneha Paul"/>
    <x v="0"/>
    <x v="4"/>
    <s v="Karnataka"/>
    <x v="3"/>
    <x v="1"/>
    <x v="6"/>
    <n v="37602.32"/>
    <n v="6"/>
    <n v="0.17"/>
    <n v="564.03"/>
  </r>
  <r>
    <s v="ORD2003"/>
    <x v="169"/>
    <s v="CUST843"/>
    <s v="Pooja Verma"/>
    <x v="2"/>
    <x v="2"/>
    <s v="Delhi"/>
    <x v="2"/>
    <x v="2"/>
    <x v="1"/>
    <n v="10615.38"/>
    <n v="5"/>
    <n v="0.15"/>
    <n v="265.38"/>
  </r>
  <r>
    <s v="ORD2098"/>
    <x v="170"/>
    <s v="CUST603"/>
    <s v="Ankit Roy"/>
    <x v="1"/>
    <x v="0"/>
    <s v="Maharashtra"/>
    <x v="0"/>
    <x v="1"/>
    <x v="1"/>
    <n v="17795.54"/>
    <n v="1"/>
    <n v="0.21"/>
    <n v="-88.98"/>
  </r>
  <r>
    <s v="ORD1688"/>
    <x v="171"/>
    <s v="CUST257"/>
    <s v="Ravi Kumar"/>
    <x v="1"/>
    <x v="4"/>
    <s v="Karnataka"/>
    <x v="3"/>
    <x v="1"/>
    <x v="3"/>
    <n v="44861.96"/>
    <n v="3"/>
    <n v="0.04"/>
    <n v="3588.96"/>
  </r>
  <r>
    <s v="ORD1932"/>
    <x v="171"/>
    <s v="CUST710"/>
    <s v="Ravi Kumar"/>
    <x v="1"/>
    <x v="0"/>
    <s v="Maharashtra"/>
    <x v="0"/>
    <x v="0"/>
    <x v="2"/>
    <n v="12875.87"/>
    <n v="6"/>
    <n v="0.05"/>
    <n v="965.69"/>
  </r>
  <r>
    <s v="ORD1292"/>
    <x v="172"/>
    <s v="CUST726"/>
    <s v="Amit Sharma"/>
    <x v="0"/>
    <x v="1"/>
    <s v="West Bengal"/>
    <x v="1"/>
    <x v="2"/>
    <x v="6"/>
    <n v="45709.83"/>
    <n v="8"/>
    <n v="0.18"/>
    <n v="457.1"/>
  </r>
  <r>
    <s v="ORD1804"/>
    <x v="172"/>
    <s v="CUST753"/>
    <s v="Ravi Kumar"/>
    <x v="2"/>
    <x v="4"/>
    <s v="Karnataka"/>
    <x v="3"/>
    <x v="0"/>
    <x v="5"/>
    <n v="4947.21"/>
    <n v="7"/>
    <n v="0.09"/>
    <n v="272.10000000000002"/>
  </r>
  <r>
    <s v="ORD1865"/>
    <x v="172"/>
    <s v="CUST802"/>
    <s v="Sneha Paul"/>
    <x v="2"/>
    <x v="2"/>
    <s v="Delhi"/>
    <x v="2"/>
    <x v="0"/>
    <x v="0"/>
    <n v="8626.16"/>
    <n v="8"/>
    <n v="0.28000000000000003"/>
    <n v="-345.05"/>
  </r>
  <r>
    <s v="ORD1901"/>
    <x v="172"/>
    <s v="CUST687"/>
    <s v="Ravi Kumar"/>
    <x v="1"/>
    <x v="4"/>
    <s v="Karnataka"/>
    <x v="3"/>
    <x v="1"/>
    <x v="6"/>
    <n v="30027.69"/>
    <n v="8"/>
    <n v="0.24"/>
    <n v="-600.54999999999995"/>
  </r>
  <r>
    <s v="ORD2402"/>
    <x v="172"/>
    <s v="CUST441"/>
    <s v="Rahul Das"/>
    <x v="2"/>
    <x v="0"/>
    <s v="Maharashtra"/>
    <x v="0"/>
    <x v="1"/>
    <x v="6"/>
    <n v="4492.72"/>
    <n v="9"/>
    <n v="0.23"/>
    <n v="-67.39"/>
  </r>
  <r>
    <s v="ORD2488"/>
    <x v="173"/>
    <s v="CUST559"/>
    <s v="Neha Singh"/>
    <x v="0"/>
    <x v="3"/>
    <s v="Telangana"/>
    <x v="2"/>
    <x v="1"/>
    <x v="3"/>
    <n v="10860.51"/>
    <n v="3"/>
    <n v="0.16"/>
    <n v="217.21"/>
  </r>
  <r>
    <s v="ORD1426"/>
    <x v="174"/>
    <s v="CUST410"/>
    <s v="Sneha Paul"/>
    <x v="1"/>
    <x v="0"/>
    <s v="Maharashtra"/>
    <x v="0"/>
    <x v="2"/>
    <x v="5"/>
    <n v="9083.26"/>
    <n v="9"/>
    <n v="0.01"/>
    <n v="862.91"/>
  </r>
  <r>
    <s v="ORD2181"/>
    <x v="174"/>
    <s v="CUST377"/>
    <s v="Neha Singh"/>
    <x v="2"/>
    <x v="4"/>
    <s v="Karnataka"/>
    <x v="3"/>
    <x v="2"/>
    <x v="3"/>
    <n v="35427.279999999999"/>
    <n v="8"/>
    <n v="0.09"/>
    <n v="1948.5"/>
  </r>
  <r>
    <s v="ORD2222"/>
    <x v="174"/>
    <s v="CUST103"/>
    <s v="Ankit Roy"/>
    <x v="2"/>
    <x v="3"/>
    <s v="Telangana"/>
    <x v="2"/>
    <x v="2"/>
    <x v="0"/>
    <n v="44663.23"/>
    <n v="9"/>
    <n v="0.28999999999999998"/>
    <n v="-2009.85"/>
  </r>
  <r>
    <s v="ORD2272"/>
    <x v="174"/>
    <s v="CUST485"/>
    <s v="Ankit Roy"/>
    <x v="1"/>
    <x v="4"/>
    <s v="Karnataka"/>
    <x v="3"/>
    <x v="1"/>
    <x v="0"/>
    <n v="29486.45"/>
    <n v="5"/>
    <n v="0.28000000000000003"/>
    <n v="-1179.46"/>
  </r>
  <r>
    <s v="ORD1244"/>
    <x v="175"/>
    <s v="CUST245"/>
    <s v="Ankit Roy"/>
    <x v="1"/>
    <x v="0"/>
    <s v="Maharashtra"/>
    <x v="0"/>
    <x v="2"/>
    <x v="1"/>
    <n v="49668.15"/>
    <n v="1"/>
    <n v="0.25"/>
    <n v="-1241.7"/>
  </r>
  <r>
    <s v="ORD2324"/>
    <x v="175"/>
    <s v="CUST293"/>
    <s v="Pooja Verma"/>
    <x v="1"/>
    <x v="3"/>
    <s v="Telangana"/>
    <x v="2"/>
    <x v="0"/>
    <x v="2"/>
    <n v="28304.7"/>
    <n v="5"/>
    <n v="7.0000000000000007E-2"/>
    <n v="1839.81"/>
  </r>
  <r>
    <s v="ORD1878"/>
    <x v="176"/>
    <s v="CUST825"/>
    <s v="Ankit Roy"/>
    <x v="2"/>
    <x v="1"/>
    <s v="West Bengal"/>
    <x v="1"/>
    <x v="2"/>
    <x v="1"/>
    <n v="10326.17"/>
    <n v="8"/>
    <n v="0.2"/>
    <n v="0"/>
  </r>
  <r>
    <s v="ORD1732"/>
    <x v="177"/>
    <s v="CUST987"/>
    <s v="Amit Sharma"/>
    <x v="1"/>
    <x v="4"/>
    <s v="Karnataka"/>
    <x v="3"/>
    <x v="2"/>
    <x v="5"/>
    <n v="44911.16"/>
    <n v="1"/>
    <n v="0.21"/>
    <n v="-224.56"/>
  </r>
  <r>
    <s v="ORD1794"/>
    <x v="177"/>
    <s v="CUST465"/>
    <s v="Rahul Das"/>
    <x v="0"/>
    <x v="2"/>
    <s v="Delhi"/>
    <x v="2"/>
    <x v="2"/>
    <x v="4"/>
    <n v="23898.19"/>
    <n v="3"/>
    <n v="0.02"/>
    <n v="2150.84"/>
  </r>
  <r>
    <s v="ORD1830"/>
    <x v="177"/>
    <s v="CUST975"/>
    <s v="Amit Sharma"/>
    <x v="1"/>
    <x v="1"/>
    <s v="West Bengal"/>
    <x v="1"/>
    <x v="1"/>
    <x v="6"/>
    <n v="22508.85"/>
    <n v="7"/>
    <n v="7.0000000000000007E-2"/>
    <n v="1463.08"/>
  </r>
  <r>
    <s v="ORD1857"/>
    <x v="177"/>
    <s v="CUST895"/>
    <s v="Amit Sharma"/>
    <x v="0"/>
    <x v="5"/>
    <s v="Tamil Nadu"/>
    <x v="1"/>
    <x v="1"/>
    <x v="4"/>
    <n v="48277.16"/>
    <n v="5"/>
    <n v="0.2"/>
    <n v="0"/>
  </r>
  <r>
    <s v="ORD1296"/>
    <x v="178"/>
    <s v="CUST467"/>
    <s v="Amit Sharma"/>
    <x v="2"/>
    <x v="0"/>
    <s v="Maharashtra"/>
    <x v="0"/>
    <x v="2"/>
    <x v="4"/>
    <n v="1117.98"/>
    <n v="9"/>
    <n v="0.02"/>
    <n v="100.62"/>
  </r>
  <r>
    <s v="ORD1516"/>
    <x v="178"/>
    <s v="CUST433"/>
    <s v="Pooja Verma"/>
    <x v="2"/>
    <x v="4"/>
    <s v="Karnataka"/>
    <x v="3"/>
    <x v="1"/>
    <x v="6"/>
    <n v="35853.1"/>
    <n v="9"/>
    <n v="0.05"/>
    <n v="2688.98"/>
  </r>
  <r>
    <s v="ORD1389"/>
    <x v="179"/>
    <s v="CUST643"/>
    <s v="Amit Sharma"/>
    <x v="0"/>
    <x v="3"/>
    <s v="Telangana"/>
    <x v="2"/>
    <x v="2"/>
    <x v="5"/>
    <n v="2443.81"/>
    <n v="1"/>
    <n v="0.04"/>
    <n v="195.5"/>
  </r>
  <r>
    <s v="ORD1430"/>
    <x v="179"/>
    <s v="CUST115"/>
    <s v="Rahul Das"/>
    <x v="1"/>
    <x v="5"/>
    <s v="Tamil Nadu"/>
    <x v="1"/>
    <x v="0"/>
    <x v="2"/>
    <n v="18241.47"/>
    <n v="5"/>
    <n v="0.04"/>
    <n v="1459.32"/>
  </r>
  <r>
    <s v="ORD1876"/>
    <x v="179"/>
    <s v="CUST922"/>
    <s v="Rahul Das"/>
    <x v="0"/>
    <x v="3"/>
    <s v="Telangana"/>
    <x v="2"/>
    <x v="2"/>
    <x v="4"/>
    <n v="32481.61"/>
    <n v="6"/>
    <n v="0.22"/>
    <n v="-324.82"/>
  </r>
  <r>
    <s v="ORD1367"/>
    <x v="180"/>
    <s v="CUST153"/>
    <s v="Ankit Roy"/>
    <x v="1"/>
    <x v="1"/>
    <s v="West Bengal"/>
    <x v="1"/>
    <x v="2"/>
    <x v="6"/>
    <n v="38875.65"/>
    <n v="6"/>
    <n v="0.25"/>
    <n v="-971.89"/>
  </r>
  <r>
    <s v="ORD1721"/>
    <x v="180"/>
    <s v="CUST912"/>
    <s v="Ravi Kumar"/>
    <x v="0"/>
    <x v="2"/>
    <s v="Delhi"/>
    <x v="2"/>
    <x v="0"/>
    <x v="2"/>
    <n v="21538.89"/>
    <n v="9"/>
    <n v="0.13"/>
    <n v="753.86"/>
  </r>
  <r>
    <s v="ORD2086"/>
    <x v="180"/>
    <s v="CUST703"/>
    <s v="Rahul Das"/>
    <x v="0"/>
    <x v="1"/>
    <s v="West Bengal"/>
    <x v="1"/>
    <x v="1"/>
    <x v="2"/>
    <n v="37261.339999999997"/>
    <n v="9"/>
    <n v="0.11"/>
    <n v="1676.76"/>
  </r>
  <r>
    <s v="ORD2269"/>
    <x v="180"/>
    <s v="CUST561"/>
    <s v="Amit Sharma"/>
    <x v="0"/>
    <x v="0"/>
    <s v="Maharashtra"/>
    <x v="0"/>
    <x v="2"/>
    <x v="5"/>
    <n v="35308.17"/>
    <n v="2"/>
    <n v="0.28999999999999998"/>
    <n v="-1588.87"/>
  </r>
  <r>
    <s v="ORD2487"/>
    <x v="180"/>
    <s v="CUST899"/>
    <s v="Amit Sharma"/>
    <x v="1"/>
    <x v="4"/>
    <s v="Karnataka"/>
    <x v="3"/>
    <x v="2"/>
    <x v="6"/>
    <n v="37715.68"/>
    <n v="8"/>
    <n v="0.09"/>
    <n v="2074.36"/>
  </r>
  <r>
    <s v="ORD1535"/>
    <x v="181"/>
    <s v="CUST392"/>
    <s v="Neha Singh"/>
    <x v="1"/>
    <x v="1"/>
    <s v="West Bengal"/>
    <x v="1"/>
    <x v="2"/>
    <x v="4"/>
    <n v="1836.65"/>
    <n v="1"/>
    <n v="0.01"/>
    <n v="174.48"/>
  </r>
  <r>
    <s v="ORD1737"/>
    <x v="181"/>
    <s v="CUST587"/>
    <s v="Neha Singh"/>
    <x v="1"/>
    <x v="5"/>
    <s v="Tamil Nadu"/>
    <x v="1"/>
    <x v="2"/>
    <x v="5"/>
    <n v="26693.91"/>
    <n v="6"/>
    <n v="0.1"/>
    <n v="1334.7"/>
  </r>
  <r>
    <s v="ORD2039"/>
    <x v="181"/>
    <s v="CUST875"/>
    <s v="Ravi Kumar"/>
    <x v="2"/>
    <x v="3"/>
    <s v="Telangana"/>
    <x v="2"/>
    <x v="0"/>
    <x v="1"/>
    <n v="7752.41"/>
    <n v="10"/>
    <n v="0.09"/>
    <n v="426.38"/>
  </r>
  <r>
    <s v="ORD2171"/>
    <x v="181"/>
    <s v="CUST878"/>
    <s v="Ankit Roy"/>
    <x v="0"/>
    <x v="0"/>
    <s v="Maharashtra"/>
    <x v="0"/>
    <x v="2"/>
    <x v="2"/>
    <n v="45753.61"/>
    <n v="4"/>
    <n v="0.25"/>
    <n v="-1143.8399999999999"/>
  </r>
  <r>
    <s v="ORD1917"/>
    <x v="182"/>
    <s v="CUST413"/>
    <s v="Rahul Das"/>
    <x v="2"/>
    <x v="2"/>
    <s v="Delhi"/>
    <x v="2"/>
    <x v="2"/>
    <x v="1"/>
    <n v="43591.61"/>
    <n v="1"/>
    <n v="0.12"/>
    <n v="1743.66"/>
  </r>
  <r>
    <s v="ORD2408"/>
    <x v="182"/>
    <s v="CUST421"/>
    <s v="Ravi Kumar"/>
    <x v="1"/>
    <x v="2"/>
    <s v="Delhi"/>
    <x v="2"/>
    <x v="1"/>
    <x v="6"/>
    <n v="37801.29"/>
    <n v="6"/>
    <n v="0.28000000000000003"/>
    <n v="-1512.05"/>
  </r>
  <r>
    <s v="ORD1518"/>
    <x v="183"/>
    <s v="CUST818"/>
    <s v="Ankit Roy"/>
    <x v="1"/>
    <x v="5"/>
    <s v="Tamil Nadu"/>
    <x v="1"/>
    <x v="2"/>
    <x v="4"/>
    <n v="45510.68"/>
    <n v="4"/>
    <n v="0.16"/>
    <n v="910.21"/>
  </r>
  <r>
    <s v="ORD2349"/>
    <x v="184"/>
    <s v="CUST953"/>
    <s v="Amit Sharma"/>
    <x v="0"/>
    <x v="2"/>
    <s v="Delhi"/>
    <x v="2"/>
    <x v="0"/>
    <x v="1"/>
    <n v="12188.27"/>
    <n v="2"/>
    <n v="0.05"/>
    <n v="914.12"/>
  </r>
  <r>
    <s v="ORD1908"/>
    <x v="185"/>
    <s v="CUST560"/>
    <s v="Neha Singh"/>
    <x v="0"/>
    <x v="5"/>
    <s v="Tamil Nadu"/>
    <x v="1"/>
    <x v="1"/>
    <x v="3"/>
    <n v="28954.97"/>
    <n v="9"/>
    <n v="0.15"/>
    <n v="723.87"/>
  </r>
  <r>
    <s v="ORD2278"/>
    <x v="185"/>
    <s v="CUST498"/>
    <s v="Amit Sharma"/>
    <x v="2"/>
    <x v="2"/>
    <s v="Delhi"/>
    <x v="2"/>
    <x v="0"/>
    <x v="5"/>
    <n v="21864.21"/>
    <n v="2"/>
    <n v="0.21"/>
    <n v="-109.32"/>
  </r>
  <r>
    <s v="ORD1987"/>
    <x v="186"/>
    <s v="CUST502"/>
    <s v="Rahul Das"/>
    <x v="1"/>
    <x v="5"/>
    <s v="Tamil Nadu"/>
    <x v="1"/>
    <x v="1"/>
    <x v="2"/>
    <n v="3519.41"/>
    <n v="8"/>
    <n v="0.18"/>
    <n v="35.19"/>
  </r>
  <r>
    <s v="ORD2014"/>
    <x v="186"/>
    <s v="CUST294"/>
    <s v="Rahul Das"/>
    <x v="0"/>
    <x v="0"/>
    <s v="Maharashtra"/>
    <x v="0"/>
    <x v="1"/>
    <x v="5"/>
    <n v="16032.2"/>
    <n v="2"/>
    <n v="0.22"/>
    <n v="-160.32"/>
  </r>
  <r>
    <s v="ORD2251"/>
    <x v="186"/>
    <s v="CUST851"/>
    <s v="Ankit Roy"/>
    <x v="2"/>
    <x v="4"/>
    <s v="Karnataka"/>
    <x v="3"/>
    <x v="0"/>
    <x v="2"/>
    <n v="16323.22"/>
    <n v="1"/>
    <n v="0.15"/>
    <n v="408.08"/>
  </r>
  <r>
    <s v="ORD1289"/>
    <x v="187"/>
    <s v="CUST854"/>
    <s v="Ankit Roy"/>
    <x v="1"/>
    <x v="1"/>
    <s v="West Bengal"/>
    <x v="1"/>
    <x v="2"/>
    <x v="2"/>
    <n v="36438.120000000003"/>
    <n v="9"/>
    <n v="0.16"/>
    <n v="728.76"/>
  </r>
  <r>
    <s v="ORD1776"/>
    <x v="187"/>
    <s v="CUST469"/>
    <s v="Amit Sharma"/>
    <x v="1"/>
    <x v="5"/>
    <s v="Tamil Nadu"/>
    <x v="1"/>
    <x v="0"/>
    <x v="1"/>
    <n v="4959.9399999999996"/>
    <n v="5"/>
    <n v="0.02"/>
    <n v="446.39"/>
  </r>
  <r>
    <s v="ORD2096"/>
    <x v="187"/>
    <s v="CUST490"/>
    <s v="Sneha Paul"/>
    <x v="2"/>
    <x v="0"/>
    <s v="Maharashtra"/>
    <x v="0"/>
    <x v="1"/>
    <x v="0"/>
    <n v="41411.74"/>
    <n v="6"/>
    <n v="0.18"/>
    <n v="414.12"/>
  </r>
  <r>
    <s v="ORD2106"/>
    <x v="187"/>
    <s v="CUST883"/>
    <s v="Pooja Verma"/>
    <x v="2"/>
    <x v="3"/>
    <s v="Telangana"/>
    <x v="2"/>
    <x v="0"/>
    <x v="3"/>
    <n v="17925.599999999999"/>
    <n v="2"/>
    <n v="0.09"/>
    <n v="985.91"/>
  </r>
  <r>
    <s v="ORD1219"/>
    <x v="188"/>
    <s v="CUST229"/>
    <s v="Ankit Roy"/>
    <x v="1"/>
    <x v="3"/>
    <s v="Telangana"/>
    <x v="2"/>
    <x v="1"/>
    <x v="2"/>
    <n v="43353.760000000002"/>
    <n v="3"/>
    <n v="0.02"/>
    <n v="3901.84"/>
  </r>
  <r>
    <s v="ORD1249"/>
    <x v="188"/>
    <s v="CUST502"/>
    <s v="Ravi Kumar"/>
    <x v="1"/>
    <x v="2"/>
    <s v="Delhi"/>
    <x v="2"/>
    <x v="2"/>
    <x v="1"/>
    <n v="30924.94"/>
    <n v="8"/>
    <n v="0.18"/>
    <n v="309.25"/>
  </r>
  <r>
    <s v="ORD1478"/>
    <x v="188"/>
    <s v="CUST280"/>
    <s v="Ankit Roy"/>
    <x v="2"/>
    <x v="5"/>
    <s v="Tamil Nadu"/>
    <x v="1"/>
    <x v="1"/>
    <x v="3"/>
    <n v="5536.65"/>
    <n v="7"/>
    <n v="7.0000000000000007E-2"/>
    <n v="359.88"/>
  </r>
  <r>
    <s v="ORD1522"/>
    <x v="188"/>
    <s v="CUST309"/>
    <s v="Sneha Paul"/>
    <x v="1"/>
    <x v="4"/>
    <s v="Karnataka"/>
    <x v="3"/>
    <x v="0"/>
    <x v="6"/>
    <n v="21146.42"/>
    <n v="10"/>
    <n v="0.12"/>
    <n v="845.86"/>
  </r>
  <r>
    <s v="ORD2005"/>
    <x v="188"/>
    <s v="CUST860"/>
    <s v="Neha Singh"/>
    <x v="1"/>
    <x v="1"/>
    <s v="West Bengal"/>
    <x v="1"/>
    <x v="1"/>
    <x v="6"/>
    <n v="27283.49"/>
    <n v="4"/>
    <n v="0.11"/>
    <n v="1227.76"/>
  </r>
  <r>
    <s v="ORD1951"/>
    <x v="189"/>
    <s v="CUST123"/>
    <s v="Rahul Das"/>
    <x v="0"/>
    <x v="3"/>
    <s v="Telangana"/>
    <x v="2"/>
    <x v="2"/>
    <x v="6"/>
    <n v="2960.58"/>
    <n v="5"/>
    <n v="0.13"/>
    <n v="103.62"/>
  </r>
  <r>
    <s v="ORD2136"/>
    <x v="189"/>
    <s v="CUST669"/>
    <s v="Pooja Verma"/>
    <x v="2"/>
    <x v="0"/>
    <s v="Maharashtra"/>
    <x v="0"/>
    <x v="0"/>
    <x v="4"/>
    <n v="17217.990000000002"/>
    <n v="3"/>
    <n v="0.09"/>
    <n v="946.99"/>
  </r>
  <r>
    <s v="ORD1692"/>
    <x v="190"/>
    <s v="CUST349"/>
    <s v="Amit Sharma"/>
    <x v="2"/>
    <x v="5"/>
    <s v="Tamil Nadu"/>
    <x v="1"/>
    <x v="1"/>
    <x v="3"/>
    <n v="18041.86"/>
    <n v="3"/>
    <n v="0.2"/>
    <n v="0"/>
  </r>
  <r>
    <s v="ORD1101"/>
    <x v="191"/>
    <s v="CUST466"/>
    <s v="Ravi Kumar"/>
    <x v="1"/>
    <x v="2"/>
    <s v="Delhi"/>
    <x v="2"/>
    <x v="2"/>
    <x v="0"/>
    <n v="20692.96"/>
    <n v="3"/>
    <n v="0.12"/>
    <n v="827.72"/>
  </r>
  <r>
    <s v="ORD1312"/>
    <x v="191"/>
    <s v="CUST211"/>
    <s v="Ravi Kumar"/>
    <x v="0"/>
    <x v="1"/>
    <s v="West Bengal"/>
    <x v="1"/>
    <x v="1"/>
    <x v="3"/>
    <n v="46791.85"/>
    <n v="10"/>
    <n v="0.02"/>
    <n v="4211.2700000000004"/>
  </r>
  <r>
    <s v="ORD1320"/>
    <x v="191"/>
    <s v="CUST337"/>
    <s v="Rahul Das"/>
    <x v="1"/>
    <x v="4"/>
    <s v="Karnataka"/>
    <x v="3"/>
    <x v="2"/>
    <x v="5"/>
    <n v="20756.61"/>
    <n v="1"/>
    <n v="0.26"/>
    <n v="-622.70000000000005"/>
  </r>
  <r>
    <s v="ORD1656"/>
    <x v="191"/>
    <s v="CUST294"/>
    <s v="Rahul Das"/>
    <x v="1"/>
    <x v="0"/>
    <s v="Maharashtra"/>
    <x v="0"/>
    <x v="2"/>
    <x v="3"/>
    <n v="28422.97"/>
    <n v="10"/>
    <n v="0.03"/>
    <n v="2415.9499999999998"/>
  </r>
  <r>
    <s v="ORD1994"/>
    <x v="191"/>
    <s v="CUST859"/>
    <s v="Rahul Das"/>
    <x v="0"/>
    <x v="5"/>
    <s v="Tamil Nadu"/>
    <x v="1"/>
    <x v="1"/>
    <x v="4"/>
    <n v="21501.29"/>
    <n v="5"/>
    <n v="0.2"/>
    <n v="0"/>
  </r>
  <r>
    <s v="ORD1034"/>
    <x v="192"/>
    <s v="CUST625"/>
    <s v="Pooja Verma"/>
    <x v="0"/>
    <x v="1"/>
    <s v="West Bengal"/>
    <x v="1"/>
    <x v="1"/>
    <x v="1"/>
    <n v="990.07"/>
    <n v="1"/>
    <n v="0.03"/>
    <n v="84.16"/>
  </r>
  <r>
    <s v="ORD2061"/>
    <x v="192"/>
    <s v="CUST550"/>
    <s v="Rahul Das"/>
    <x v="2"/>
    <x v="5"/>
    <s v="Tamil Nadu"/>
    <x v="1"/>
    <x v="1"/>
    <x v="5"/>
    <n v="39668.620000000003"/>
    <n v="2"/>
    <n v="0.18"/>
    <n v="396.69"/>
  </r>
  <r>
    <s v="ORD2403"/>
    <x v="192"/>
    <s v="CUST499"/>
    <s v="Ravi Kumar"/>
    <x v="1"/>
    <x v="1"/>
    <s v="West Bengal"/>
    <x v="1"/>
    <x v="1"/>
    <x v="5"/>
    <n v="35055.14"/>
    <n v="8"/>
    <n v="0.12"/>
    <n v="1402.21"/>
  </r>
  <r>
    <s v="ORD2427"/>
    <x v="193"/>
    <s v="CUST481"/>
    <s v="Amit Sharma"/>
    <x v="2"/>
    <x v="2"/>
    <s v="Delhi"/>
    <x v="2"/>
    <x v="2"/>
    <x v="3"/>
    <n v="6733.19"/>
    <n v="4"/>
    <n v="0.28000000000000003"/>
    <n v="-269.33"/>
  </r>
  <r>
    <s v="ORD1530"/>
    <x v="194"/>
    <s v="CUST471"/>
    <s v="Neha Singh"/>
    <x v="0"/>
    <x v="4"/>
    <s v="Karnataka"/>
    <x v="3"/>
    <x v="2"/>
    <x v="0"/>
    <n v="37716.550000000003"/>
    <n v="9"/>
    <n v="0.22"/>
    <n v="-377.17"/>
  </r>
  <r>
    <s v="ORD1777"/>
    <x v="195"/>
    <s v="CUST584"/>
    <s v="Pooja Verma"/>
    <x v="1"/>
    <x v="3"/>
    <s v="Telangana"/>
    <x v="2"/>
    <x v="0"/>
    <x v="3"/>
    <n v="37971.01"/>
    <n v="8"/>
    <n v="0.1"/>
    <n v="1898.55"/>
  </r>
  <r>
    <s v="ORD2383"/>
    <x v="195"/>
    <s v="CUST788"/>
    <s v="Neha Singh"/>
    <x v="1"/>
    <x v="1"/>
    <s v="West Bengal"/>
    <x v="1"/>
    <x v="1"/>
    <x v="1"/>
    <n v="33173.18"/>
    <n v="5"/>
    <n v="0.3"/>
    <n v="-1658.66"/>
  </r>
  <r>
    <s v="ORD1334"/>
    <x v="196"/>
    <s v="CUST980"/>
    <s v="Ankit Roy"/>
    <x v="1"/>
    <x v="3"/>
    <s v="Telangana"/>
    <x v="2"/>
    <x v="0"/>
    <x v="3"/>
    <n v="19001.509999999998"/>
    <n v="7"/>
    <n v="0"/>
    <n v="1900.15"/>
  </r>
  <r>
    <s v="ORD1020"/>
    <x v="197"/>
    <s v="CUST786"/>
    <s v="Pooja Verma"/>
    <x v="2"/>
    <x v="5"/>
    <s v="Tamil Nadu"/>
    <x v="1"/>
    <x v="2"/>
    <x v="4"/>
    <n v="6536.1"/>
    <n v="8"/>
    <n v="0.14000000000000001"/>
    <n v="196.08"/>
  </r>
  <r>
    <s v="ORD2160"/>
    <x v="197"/>
    <s v="CUST133"/>
    <s v="Ravi Kumar"/>
    <x v="2"/>
    <x v="5"/>
    <s v="Tamil Nadu"/>
    <x v="1"/>
    <x v="1"/>
    <x v="6"/>
    <n v="7097.37"/>
    <n v="4"/>
    <n v="0.01"/>
    <n v="674.25"/>
  </r>
  <r>
    <s v="ORD2342"/>
    <x v="197"/>
    <s v="CUST842"/>
    <s v="Neha Singh"/>
    <x v="0"/>
    <x v="0"/>
    <s v="Maharashtra"/>
    <x v="0"/>
    <x v="0"/>
    <x v="1"/>
    <n v="35910.300000000003"/>
    <n v="2"/>
    <n v="0.15"/>
    <n v="897.76"/>
  </r>
  <r>
    <s v="ORD1074"/>
    <x v="198"/>
    <s v="CUST655"/>
    <s v="Ravi Kumar"/>
    <x v="2"/>
    <x v="0"/>
    <s v="Maharashtra"/>
    <x v="0"/>
    <x v="2"/>
    <x v="0"/>
    <n v="21502.53"/>
    <n v="1"/>
    <n v="0.19"/>
    <n v="107.51"/>
  </r>
  <r>
    <s v="ORD1467"/>
    <x v="198"/>
    <s v="CUST447"/>
    <s v="Pooja Verma"/>
    <x v="0"/>
    <x v="5"/>
    <s v="Tamil Nadu"/>
    <x v="1"/>
    <x v="0"/>
    <x v="2"/>
    <n v="36230.120000000003"/>
    <n v="6"/>
    <n v="0.1"/>
    <n v="1811.51"/>
  </r>
  <r>
    <s v="ORD2080"/>
    <x v="198"/>
    <s v="CUST693"/>
    <s v="Ravi Kumar"/>
    <x v="0"/>
    <x v="1"/>
    <s v="West Bengal"/>
    <x v="1"/>
    <x v="2"/>
    <x v="1"/>
    <n v="25336.75"/>
    <n v="6"/>
    <n v="0.05"/>
    <n v="1900.26"/>
  </r>
  <r>
    <s v="ORD1475"/>
    <x v="199"/>
    <s v="CUST117"/>
    <s v="Ankit Roy"/>
    <x v="0"/>
    <x v="0"/>
    <s v="Maharashtra"/>
    <x v="0"/>
    <x v="1"/>
    <x v="1"/>
    <n v="40827.31"/>
    <n v="10"/>
    <n v="0.28999999999999998"/>
    <n v="-1837.23"/>
  </r>
  <r>
    <s v="ORD1710"/>
    <x v="199"/>
    <s v="CUST231"/>
    <s v="Ankit Roy"/>
    <x v="2"/>
    <x v="5"/>
    <s v="Tamil Nadu"/>
    <x v="1"/>
    <x v="2"/>
    <x v="4"/>
    <n v="40963.51"/>
    <n v="6"/>
    <n v="0.26"/>
    <n v="-1228.9100000000001"/>
  </r>
  <r>
    <s v="ORD2101"/>
    <x v="199"/>
    <s v="CUST123"/>
    <s v="Ravi Kumar"/>
    <x v="1"/>
    <x v="5"/>
    <s v="Tamil Nadu"/>
    <x v="1"/>
    <x v="0"/>
    <x v="3"/>
    <n v="47486.79"/>
    <n v="5"/>
    <n v="0.21"/>
    <n v="-237.43"/>
  </r>
  <r>
    <s v="ORD2397"/>
    <x v="199"/>
    <s v="CUST968"/>
    <s v="Rahul Das"/>
    <x v="0"/>
    <x v="1"/>
    <s v="West Bengal"/>
    <x v="1"/>
    <x v="1"/>
    <x v="1"/>
    <n v="47551.58"/>
    <n v="10"/>
    <n v="0.05"/>
    <n v="3566.37"/>
  </r>
  <r>
    <s v="ORD2234"/>
    <x v="200"/>
    <s v="CUST743"/>
    <s v="Sneha Paul"/>
    <x v="2"/>
    <x v="0"/>
    <s v="Maharashtra"/>
    <x v="0"/>
    <x v="0"/>
    <x v="2"/>
    <n v="28413.94"/>
    <n v="8"/>
    <n v="0.21"/>
    <n v="-142.07"/>
  </r>
  <r>
    <s v="ORD1693"/>
    <x v="201"/>
    <s v="CUST352"/>
    <s v="Ravi Kumar"/>
    <x v="1"/>
    <x v="2"/>
    <s v="Delhi"/>
    <x v="2"/>
    <x v="1"/>
    <x v="2"/>
    <n v="3461.57"/>
    <n v="5"/>
    <n v="0.09"/>
    <n v="190.39"/>
  </r>
  <r>
    <s v="ORD1781"/>
    <x v="202"/>
    <s v="CUST242"/>
    <s v="Pooja Verma"/>
    <x v="2"/>
    <x v="2"/>
    <s v="Delhi"/>
    <x v="2"/>
    <x v="2"/>
    <x v="0"/>
    <n v="31794.02"/>
    <n v="7"/>
    <n v="0.14000000000000001"/>
    <n v="953.82"/>
  </r>
  <r>
    <s v="ORD2068"/>
    <x v="202"/>
    <s v="CUST282"/>
    <s v="Ravi Kumar"/>
    <x v="0"/>
    <x v="5"/>
    <s v="Tamil Nadu"/>
    <x v="1"/>
    <x v="0"/>
    <x v="1"/>
    <n v="42446.19"/>
    <n v="4"/>
    <n v="0.03"/>
    <n v="3607.93"/>
  </r>
  <r>
    <s v="ORD1250"/>
    <x v="203"/>
    <s v="CUST704"/>
    <s v="Amit Sharma"/>
    <x v="2"/>
    <x v="4"/>
    <s v="Karnataka"/>
    <x v="3"/>
    <x v="0"/>
    <x v="6"/>
    <n v="24335.31"/>
    <n v="3"/>
    <n v="0.17"/>
    <n v="365.03"/>
  </r>
  <r>
    <s v="ORD1266"/>
    <x v="203"/>
    <s v="CUST357"/>
    <s v="Neha Singh"/>
    <x v="1"/>
    <x v="4"/>
    <s v="Karnataka"/>
    <x v="3"/>
    <x v="2"/>
    <x v="0"/>
    <n v="48256.82"/>
    <n v="10"/>
    <n v="0.13"/>
    <n v="1688.99"/>
  </r>
  <r>
    <s v="ORD2153"/>
    <x v="203"/>
    <s v="CUST458"/>
    <s v="Sneha Paul"/>
    <x v="0"/>
    <x v="1"/>
    <s v="West Bengal"/>
    <x v="1"/>
    <x v="2"/>
    <x v="4"/>
    <n v="28043.59"/>
    <n v="10"/>
    <n v="0.09"/>
    <n v="1542.4"/>
  </r>
  <r>
    <s v="ORD2369"/>
    <x v="203"/>
    <s v="CUST578"/>
    <s v="Pooja Verma"/>
    <x v="0"/>
    <x v="3"/>
    <s v="Telangana"/>
    <x v="2"/>
    <x v="2"/>
    <x v="2"/>
    <n v="32714.720000000001"/>
    <n v="1"/>
    <n v="0.19"/>
    <n v="163.57"/>
  </r>
  <r>
    <s v="ORD1134"/>
    <x v="204"/>
    <s v="CUST730"/>
    <s v="Rahul Das"/>
    <x v="1"/>
    <x v="3"/>
    <s v="Telangana"/>
    <x v="2"/>
    <x v="2"/>
    <x v="4"/>
    <n v="44825.58"/>
    <n v="7"/>
    <n v="0.27"/>
    <n v="-1568.9"/>
  </r>
  <r>
    <s v="ORD1191"/>
    <x v="204"/>
    <s v="CUST298"/>
    <s v="Ankit Roy"/>
    <x v="1"/>
    <x v="5"/>
    <s v="Tamil Nadu"/>
    <x v="1"/>
    <x v="0"/>
    <x v="2"/>
    <n v="47799.41"/>
    <n v="1"/>
    <n v="0.28999999999999998"/>
    <n v="-2150.9699999999998"/>
  </r>
  <r>
    <s v="ORD2084"/>
    <x v="204"/>
    <s v="CUST192"/>
    <s v="Neha Singh"/>
    <x v="1"/>
    <x v="1"/>
    <s v="West Bengal"/>
    <x v="1"/>
    <x v="0"/>
    <x v="2"/>
    <n v="11937.43"/>
    <n v="6"/>
    <n v="0.26"/>
    <n v="-358.12"/>
  </r>
  <r>
    <s v="ORD1570"/>
    <x v="205"/>
    <s v="CUST528"/>
    <s v="Sneha Paul"/>
    <x v="1"/>
    <x v="3"/>
    <s v="Telangana"/>
    <x v="2"/>
    <x v="2"/>
    <x v="6"/>
    <n v="3487.57"/>
    <n v="2"/>
    <n v="0.15"/>
    <n v="87.19"/>
  </r>
  <r>
    <s v="ORD1749"/>
    <x v="205"/>
    <s v="CUST422"/>
    <s v="Ravi Kumar"/>
    <x v="1"/>
    <x v="5"/>
    <s v="Tamil Nadu"/>
    <x v="1"/>
    <x v="1"/>
    <x v="3"/>
    <n v="18962.939999999999"/>
    <n v="7"/>
    <n v="0.28999999999999998"/>
    <n v="-853.33"/>
  </r>
  <r>
    <s v="ORD1919"/>
    <x v="205"/>
    <s v="CUST624"/>
    <s v="Pooja Verma"/>
    <x v="2"/>
    <x v="1"/>
    <s v="West Bengal"/>
    <x v="1"/>
    <x v="1"/>
    <x v="5"/>
    <n v="10022.16"/>
    <n v="1"/>
    <n v="0.17"/>
    <n v="150.33000000000001"/>
  </r>
  <r>
    <s v="ORD1833"/>
    <x v="206"/>
    <s v="CUST867"/>
    <s v="Ankit Roy"/>
    <x v="2"/>
    <x v="4"/>
    <s v="Karnataka"/>
    <x v="3"/>
    <x v="2"/>
    <x v="3"/>
    <n v="40779.32"/>
    <n v="7"/>
    <n v="0.18"/>
    <n v="407.79"/>
  </r>
  <r>
    <s v="ORD2048"/>
    <x v="206"/>
    <s v="CUST167"/>
    <s v="Rahul Das"/>
    <x v="2"/>
    <x v="4"/>
    <s v="Karnataka"/>
    <x v="3"/>
    <x v="1"/>
    <x v="2"/>
    <n v="3273.9"/>
    <n v="1"/>
    <n v="0.21"/>
    <n v="-16.37"/>
  </r>
  <r>
    <s v="ORD2245"/>
    <x v="206"/>
    <s v="CUST598"/>
    <s v="Sneha Paul"/>
    <x v="0"/>
    <x v="2"/>
    <s v="Delhi"/>
    <x v="2"/>
    <x v="1"/>
    <x v="1"/>
    <n v="1450.3"/>
    <n v="3"/>
    <n v="0.08"/>
    <n v="87.02"/>
  </r>
  <r>
    <s v="ORD2367"/>
    <x v="206"/>
    <s v="CUST479"/>
    <s v="Pooja Verma"/>
    <x v="2"/>
    <x v="5"/>
    <s v="Tamil Nadu"/>
    <x v="1"/>
    <x v="0"/>
    <x v="6"/>
    <n v="36460.82"/>
    <n v="6"/>
    <n v="0.13"/>
    <n v="1276.1300000000001"/>
  </r>
  <r>
    <s v="ORD1315"/>
    <x v="207"/>
    <s v="CUST569"/>
    <s v="Rahul Das"/>
    <x v="0"/>
    <x v="0"/>
    <s v="Maharashtra"/>
    <x v="0"/>
    <x v="1"/>
    <x v="5"/>
    <n v="41316.269999999997"/>
    <n v="10"/>
    <n v="0.21"/>
    <n v="-206.58"/>
  </r>
  <r>
    <s v="ORD1398"/>
    <x v="207"/>
    <s v="CUST632"/>
    <s v="Neha Singh"/>
    <x v="0"/>
    <x v="2"/>
    <s v="Delhi"/>
    <x v="2"/>
    <x v="0"/>
    <x v="5"/>
    <n v="31291.24"/>
    <n v="8"/>
    <n v="0.23"/>
    <n v="-469.37"/>
  </r>
  <r>
    <s v="ORD2146"/>
    <x v="207"/>
    <s v="CUST989"/>
    <s v="Rahul Das"/>
    <x v="1"/>
    <x v="4"/>
    <s v="Karnataka"/>
    <x v="3"/>
    <x v="2"/>
    <x v="1"/>
    <n v="47291.44"/>
    <n v="4"/>
    <n v="0.03"/>
    <n v="4019.77"/>
  </r>
  <r>
    <s v="ORD1798"/>
    <x v="208"/>
    <s v="CUST448"/>
    <s v="Sneha Paul"/>
    <x v="2"/>
    <x v="3"/>
    <s v="Telangana"/>
    <x v="2"/>
    <x v="0"/>
    <x v="1"/>
    <n v="25540.54"/>
    <n v="6"/>
    <n v="0.23"/>
    <n v="-383.11"/>
  </r>
  <r>
    <s v="ORD1803"/>
    <x v="208"/>
    <s v="CUST233"/>
    <s v="Amit Sharma"/>
    <x v="2"/>
    <x v="5"/>
    <s v="Tamil Nadu"/>
    <x v="1"/>
    <x v="2"/>
    <x v="5"/>
    <n v="29717.77"/>
    <n v="2"/>
    <n v="0.09"/>
    <n v="1634.48"/>
  </r>
  <r>
    <s v="ORD1824"/>
    <x v="208"/>
    <s v="CUST539"/>
    <s v="Sneha Paul"/>
    <x v="1"/>
    <x v="1"/>
    <s v="West Bengal"/>
    <x v="1"/>
    <x v="2"/>
    <x v="6"/>
    <n v="3713.17"/>
    <n v="5"/>
    <n v="0.03"/>
    <n v="315.62"/>
  </r>
  <r>
    <s v="ORD2176"/>
    <x v="208"/>
    <s v="CUST440"/>
    <s v="Amit Sharma"/>
    <x v="0"/>
    <x v="1"/>
    <s v="West Bengal"/>
    <x v="1"/>
    <x v="2"/>
    <x v="1"/>
    <n v="26776.43"/>
    <n v="7"/>
    <n v="0.27"/>
    <n v="-937.18"/>
  </r>
  <r>
    <s v="ORD2445"/>
    <x v="208"/>
    <s v="CUST342"/>
    <s v="Amit Sharma"/>
    <x v="1"/>
    <x v="1"/>
    <s v="West Bengal"/>
    <x v="1"/>
    <x v="0"/>
    <x v="3"/>
    <n v="11389.32"/>
    <n v="9"/>
    <n v="0.13"/>
    <n v="398.63"/>
  </r>
  <r>
    <s v="ORD1217"/>
    <x v="209"/>
    <s v="CUST391"/>
    <s v="Amit Sharma"/>
    <x v="0"/>
    <x v="5"/>
    <s v="Tamil Nadu"/>
    <x v="1"/>
    <x v="0"/>
    <x v="4"/>
    <n v="5153.0200000000004"/>
    <n v="7"/>
    <n v="0.25"/>
    <n v="-128.83000000000001"/>
  </r>
  <r>
    <s v="ORD2040"/>
    <x v="209"/>
    <s v="CUST842"/>
    <s v="Amit Sharma"/>
    <x v="1"/>
    <x v="3"/>
    <s v="Telangana"/>
    <x v="2"/>
    <x v="2"/>
    <x v="0"/>
    <n v="16519.490000000002"/>
    <n v="10"/>
    <n v="0.02"/>
    <n v="1486.75"/>
  </r>
  <r>
    <s v="ORD2267"/>
    <x v="209"/>
    <s v="CUST976"/>
    <s v="Ravi Kumar"/>
    <x v="1"/>
    <x v="4"/>
    <s v="Karnataka"/>
    <x v="3"/>
    <x v="2"/>
    <x v="4"/>
    <n v="35834.39"/>
    <n v="3"/>
    <n v="0.28999999999999998"/>
    <n v="-1612.55"/>
  </r>
  <r>
    <s v="ORD2328"/>
    <x v="209"/>
    <s v="CUST539"/>
    <s v="Amit Sharma"/>
    <x v="2"/>
    <x v="1"/>
    <s v="West Bengal"/>
    <x v="1"/>
    <x v="1"/>
    <x v="5"/>
    <n v="47315.79"/>
    <n v="3"/>
    <n v="0.22"/>
    <n v="-473.16"/>
  </r>
  <r>
    <s v="ORD1498"/>
    <x v="210"/>
    <s v="CUST654"/>
    <s v="Pooja Verma"/>
    <x v="1"/>
    <x v="3"/>
    <s v="Telangana"/>
    <x v="2"/>
    <x v="0"/>
    <x v="4"/>
    <n v="45530.6"/>
    <n v="4"/>
    <n v="0.22"/>
    <n v="-455.31"/>
  </r>
  <r>
    <s v="ORD2250"/>
    <x v="210"/>
    <s v="CUST950"/>
    <s v="Sneha Paul"/>
    <x v="1"/>
    <x v="4"/>
    <s v="Karnataka"/>
    <x v="3"/>
    <x v="1"/>
    <x v="0"/>
    <n v="17795.98"/>
    <n v="5"/>
    <n v="0.14000000000000001"/>
    <n v="533.88"/>
  </r>
  <r>
    <s v="ORD2258"/>
    <x v="210"/>
    <s v="CUST884"/>
    <s v="Sneha Paul"/>
    <x v="0"/>
    <x v="1"/>
    <s v="West Bengal"/>
    <x v="1"/>
    <x v="0"/>
    <x v="5"/>
    <n v="45151.32"/>
    <n v="4"/>
    <n v="0.12"/>
    <n v="1806.05"/>
  </r>
  <r>
    <s v="ORD1469"/>
    <x v="211"/>
    <s v="CUST697"/>
    <s v="Sneha Paul"/>
    <x v="1"/>
    <x v="4"/>
    <s v="Karnataka"/>
    <x v="3"/>
    <x v="1"/>
    <x v="5"/>
    <n v="46148.33"/>
    <n v="6"/>
    <n v="0.1"/>
    <n v="2307.42"/>
  </r>
  <r>
    <s v="ORD1633"/>
    <x v="211"/>
    <s v="CUST405"/>
    <s v="Ravi Kumar"/>
    <x v="0"/>
    <x v="4"/>
    <s v="Karnataka"/>
    <x v="3"/>
    <x v="1"/>
    <x v="4"/>
    <n v="33491.18"/>
    <n v="2"/>
    <n v="0.23"/>
    <n v="-502.37"/>
  </r>
  <r>
    <s v="ORD1666"/>
    <x v="211"/>
    <s v="CUST280"/>
    <s v="Sneha Paul"/>
    <x v="2"/>
    <x v="1"/>
    <s v="West Bengal"/>
    <x v="1"/>
    <x v="1"/>
    <x v="2"/>
    <n v="36763.360000000001"/>
    <n v="8"/>
    <n v="0.2"/>
    <n v="0"/>
  </r>
  <r>
    <s v="ORD1821"/>
    <x v="211"/>
    <s v="CUST298"/>
    <s v="Sneha Paul"/>
    <x v="1"/>
    <x v="4"/>
    <s v="Karnataka"/>
    <x v="3"/>
    <x v="0"/>
    <x v="3"/>
    <n v="26482.74"/>
    <n v="10"/>
    <n v="0.15"/>
    <n v="662.07"/>
  </r>
  <r>
    <s v="ORD2268"/>
    <x v="212"/>
    <s v="CUST895"/>
    <s v="Pooja Verma"/>
    <x v="2"/>
    <x v="3"/>
    <s v="Telangana"/>
    <x v="2"/>
    <x v="2"/>
    <x v="0"/>
    <n v="45686.86"/>
    <n v="10"/>
    <n v="0.04"/>
    <n v="3654.95"/>
  </r>
  <r>
    <s v="ORD1008"/>
    <x v="213"/>
    <s v="CUST996"/>
    <s v="Rahul Das"/>
    <x v="2"/>
    <x v="5"/>
    <s v="Tamil Nadu"/>
    <x v="1"/>
    <x v="2"/>
    <x v="3"/>
    <n v="34476.839999999997"/>
    <n v="3"/>
    <n v="0.19"/>
    <n v="172.38"/>
  </r>
  <r>
    <s v="ORD1182"/>
    <x v="213"/>
    <s v="CUST232"/>
    <s v="Sneha Paul"/>
    <x v="1"/>
    <x v="2"/>
    <s v="Delhi"/>
    <x v="2"/>
    <x v="1"/>
    <x v="1"/>
    <n v="33380.01"/>
    <n v="4"/>
    <n v="0.28000000000000003"/>
    <n v="-1335.2"/>
  </r>
  <r>
    <s v="ORD1583"/>
    <x v="213"/>
    <s v="CUST536"/>
    <s v="Rahul Das"/>
    <x v="0"/>
    <x v="5"/>
    <s v="Tamil Nadu"/>
    <x v="1"/>
    <x v="1"/>
    <x v="3"/>
    <n v="13657.28"/>
    <n v="2"/>
    <n v="0.03"/>
    <n v="1160.8699999999999"/>
  </r>
  <r>
    <s v="ORD1629"/>
    <x v="213"/>
    <s v="CUST466"/>
    <s v="Neha Singh"/>
    <x v="1"/>
    <x v="4"/>
    <s v="Karnataka"/>
    <x v="3"/>
    <x v="0"/>
    <x v="3"/>
    <n v="33799.339999999997"/>
    <n v="8"/>
    <n v="0.03"/>
    <n v="2872.94"/>
  </r>
  <r>
    <s v="ORD2247"/>
    <x v="213"/>
    <s v="CUST394"/>
    <s v="Pooja Verma"/>
    <x v="0"/>
    <x v="2"/>
    <s v="Delhi"/>
    <x v="2"/>
    <x v="1"/>
    <x v="5"/>
    <n v="2087.3000000000002"/>
    <n v="4"/>
    <n v="0.2"/>
    <n v="0"/>
  </r>
  <r>
    <s v="ORD1664"/>
    <x v="214"/>
    <s v="CUST650"/>
    <s v="Ravi Kumar"/>
    <x v="1"/>
    <x v="5"/>
    <s v="Tamil Nadu"/>
    <x v="1"/>
    <x v="2"/>
    <x v="2"/>
    <n v="23610.07"/>
    <n v="4"/>
    <n v="0.2"/>
    <n v="0"/>
  </r>
  <r>
    <s v="ORD1536"/>
    <x v="215"/>
    <s v="CUST750"/>
    <s v="Neha Singh"/>
    <x v="2"/>
    <x v="5"/>
    <s v="Tamil Nadu"/>
    <x v="1"/>
    <x v="1"/>
    <x v="4"/>
    <n v="12397.23"/>
    <n v="4"/>
    <n v="0.23"/>
    <n v="-185.96"/>
  </r>
  <r>
    <s v="ORD1727"/>
    <x v="215"/>
    <s v="CUST192"/>
    <s v="Rahul Das"/>
    <x v="0"/>
    <x v="2"/>
    <s v="Delhi"/>
    <x v="2"/>
    <x v="1"/>
    <x v="2"/>
    <n v="5128.03"/>
    <n v="5"/>
    <n v="0.02"/>
    <n v="461.52"/>
  </r>
  <r>
    <s v="ORD1140"/>
    <x v="216"/>
    <s v="CUST778"/>
    <s v="Sneha Paul"/>
    <x v="2"/>
    <x v="4"/>
    <s v="Karnataka"/>
    <x v="3"/>
    <x v="0"/>
    <x v="3"/>
    <n v="6033.87"/>
    <n v="3"/>
    <n v="0.26"/>
    <n v="-181.02"/>
  </r>
  <r>
    <s v="ORD1468"/>
    <x v="216"/>
    <s v="CUST586"/>
    <s v="Rahul Das"/>
    <x v="1"/>
    <x v="4"/>
    <s v="Karnataka"/>
    <x v="3"/>
    <x v="0"/>
    <x v="1"/>
    <n v="30932.49"/>
    <n v="4"/>
    <n v="0.12"/>
    <n v="1237.3"/>
  </r>
  <r>
    <s v="ORD2043"/>
    <x v="216"/>
    <s v="CUST552"/>
    <s v="Amit Sharma"/>
    <x v="1"/>
    <x v="4"/>
    <s v="Karnataka"/>
    <x v="3"/>
    <x v="0"/>
    <x v="0"/>
    <n v="30512.49"/>
    <n v="10"/>
    <n v="0.28999999999999998"/>
    <n v="-1373.06"/>
  </r>
  <r>
    <s v="ORD2044"/>
    <x v="216"/>
    <s v="CUST980"/>
    <s v="Ravi Kumar"/>
    <x v="2"/>
    <x v="4"/>
    <s v="Karnataka"/>
    <x v="3"/>
    <x v="2"/>
    <x v="6"/>
    <n v="49808.49"/>
    <n v="6"/>
    <n v="0.24"/>
    <n v="-996.17"/>
  </r>
  <r>
    <s v="ORD2297"/>
    <x v="216"/>
    <s v="CUST867"/>
    <s v="Sneha Paul"/>
    <x v="1"/>
    <x v="3"/>
    <s v="Telangana"/>
    <x v="2"/>
    <x v="2"/>
    <x v="2"/>
    <n v="14458.35"/>
    <n v="6"/>
    <n v="0.03"/>
    <n v="1228.96"/>
  </r>
  <r>
    <s v="ORD1826"/>
    <x v="217"/>
    <s v="CUST901"/>
    <s v="Amit Sharma"/>
    <x v="1"/>
    <x v="2"/>
    <s v="Delhi"/>
    <x v="2"/>
    <x v="2"/>
    <x v="4"/>
    <n v="45572.95"/>
    <n v="3"/>
    <n v="0.11"/>
    <n v="2050.7800000000002"/>
  </r>
  <r>
    <s v="ORD2334"/>
    <x v="217"/>
    <s v="CUST765"/>
    <s v="Ankit Roy"/>
    <x v="0"/>
    <x v="3"/>
    <s v="Telangana"/>
    <x v="2"/>
    <x v="1"/>
    <x v="2"/>
    <n v="32660.65"/>
    <n v="2"/>
    <n v="0.14000000000000001"/>
    <n v="979.82"/>
  </r>
  <r>
    <s v="ORD2420"/>
    <x v="217"/>
    <s v="CUST499"/>
    <s v="Sneha Paul"/>
    <x v="1"/>
    <x v="4"/>
    <s v="Karnataka"/>
    <x v="3"/>
    <x v="1"/>
    <x v="6"/>
    <n v="47902.69"/>
    <n v="5"/>
    <n v="0.22"/>
    <n v="-479.03"/>
  </r>
  <r>
    <s v="ORD2471"/>
    <x v="217"/>
    <s v="CUST554"/>
    <s v="Rahul Das"/>
    <x v="0"/>
    <x v="0"/>
    <s v="Maharashtra"/>
    <x v="0"/>
    <x v="1"/>
    <x v="5"/>
    <n v="8417.44"/>
    <n v="4"/>
    <n v="0.05"/>
    <n v="631.30999999999995"/>
  </r>
  <r>
    <s v="ORD2148"/>
    <x v="218"/>
    <s v="CUST103"/>
    <s v="Rahul Das"/>
    <x v="0"/>
    <x v="2"/>
    <s v="Delhi"/>
    <x v="2"/>
    <x v="2"/>
    <x v="4"/>
    <n v="35111.43"/>
    <n v="4"/>
    <n v="0.18"/>
    <n v="351.11"/>
  </r>
  <r>
    <s v="ORD1009"/>
    <x v="219"/>
    <s v="CUST790"/>
    <s v="Neha Singh"/>
    <x v="1"/>
    <x v="1"/>
    <s v="West Bengal"/>
    <x v="1"/>
    <x v="2"/>
    <x v="2"/>
    <n v="35653.5"/>
    <n v="10"/>
    <n v="0.24"/>
    <n v="-713.07"/>
  </r>
  <r>
    <s v="ORD1451"/>
    <x v="219"/>
    <s v="CUST866"/>
    <s v="Sneha Paul"/>
    <x v="1"/>
    <x v="0"/>
    <s v="Maharashtra"/>
    <x v="0"/>
    <x v="0"/>
    <x v="6"/>
    <n v="43733.81"/>
    <n v="10"/>
    <n v="0.04"/>
    <n v="3498.7"/>
  </r>
  <r>
    <s v="ORD1639"/>
    <x v="219"/>
    <s v="CUST972"/>
    <s v="Ankit Roy"/>
    <x v="2"/>
    <x v="3"/>
    <s v="Telangana"/>
    <x v="2"/>
    <x v="0"/>
    <x v="3"/>
    <n v="17029.28"/>
    <n v="2"/>
    <n v="0.21"/>
    <n v="-85.15"/>
  </r>
  <r>
    <s v="ORD1883"/>
    <x v="219"/>
    <s v="CUST446"/>
    <s v="Ankit Roy"/>
    <x v="2"/>
    <x v="3"/>
    <s v="Telangana"/>
    <x v="2"/>
    <x v="0"/>
    <x v="3"/>
    <n v="27219.31"/>
    <n v="9"/>
    <n v="7.0000000000000007E-2"/>
    <n v="1769.26"/>
  </r>
  <r>
    <s v="ORD2314"/>
    <x v="219"/>
    <s v="CUST277"/>
    <s v="Ankit Roy"/>
    <x v="1"/>
    <x v="3"/>
    <s v="Telangana"/>
    <x v="2"/>
    <x v="0"/>
    <x v="1"/>
    <n v="13063.19"/>
    <n v="1"/>
    <n v="0.28000000000000003"/>
    <n v="-522.53"/>
  </r>
  <r>
    <s v="ORD1433"/>
    <x v="220"/>
    <s v="CUST936"/>
    <s v="Pooja Verma"/>
    <x v="1"/>
    <x v="4"/>
    <s v="Karnataka"/>
    <x v="3"/>
    <x v="0"/>
    <x v="2"/>
    <n v="30701.53"/>
    <n v="3"/>
    <n v="0.12"/>
    <n v="1228.06"/>
  </r>
  <r>
    <s v="ORD1630"/>
    <x v="220"/>
    <s v="CUST633"/>
    <s v="Sneha Paul"/>
    <x v="2"/>
    <x v="0"/>
    <s v="Maharashtra"/>
    <x v="0"/>
    <x v="2"/>
    <x v="6"/>
    <n v="11620.47"/>
    <n v="2"/>
    <n v="0.1"/>
    <n v="581.02"/>
  </r>
  <r>
    <s v="ORD2132"/>
    <x v="220"/>
    <s v="CUST475"/>
    <s v="Amit Sharma"/>
    <x v="1"/>
    <x v="4"/>
    <s v="Karnataka"/>
    <x v="3"/>
    <x v="2"/>
    <x v="5"/>
    <n v="48380.95"/>
    <n v="1"/>
    <n v="0.01"/>
    <n v="4596.1899999999996"/>
  </r>
  <r>
    <s v="ORD2284"/>
    <x v="220"/>
    <s v="CUST198"/>
    <s v="Sneha Paul"/>
    <x v="0"/>
    <x v="4"/>
    <s v="Karnataka"/>
    <x v="3"/>
    <x v="0"/>
    <x v="2"/>
    <n v="23693.040000000001"/>
    <n v="1"/>
    <n v="0.1"/>
    <n v="1184.6500000000001"/>
  </r>
  <r>
    <s v="ORD2409"/>
    <x v="220"/>
    <s v="CUST501"/>
    <s v="Amit Sharma"/>
    <x v="0"/>
    <x v="1"/>
    <s v="West Bengal"/>
    <x v="1"/>
    <x v="2"/>
    <x v="0"/>
    <n v="15629.72"/>
    <n v="7"/>
    <n v="0.19"/>
    <n v="78.150000000000006"/>
  </r>
  <r>
    <s v="ORD1282"/>
    <x v="221"/>
    <s v="CUST100"/>
    <s v="Neha Singh"/>
    <x v="2"/>
    <x v="0"/>
    <s v="Maharashtra"/>
    <x v="0"/>
    <x v="2"/>
    <x v="2"/>
    <n v="3713.31"/>
    <n v="7"/>
    <n v="0.15"/>
    <n v="92.83"/>
  </r>
  <r>
    <s v="ORD2355"/>
    <x v="221"/>
    <s v="CUST296"/>
    <s v="Rahul Das"/>
    <x v="1"/>
    <x v="2"/>
    <s v="Delhi"/>
    <x v="2"/>
    <x v="1"/>
    <x v="4"/>
    <n v="14848.45"/>
    <n v="1"/>
    <n v="0.28000000000000003"/>
    <n v="-593.94000000000005"/>
  </r>
  <r>
    <s v="ORD1152"/>
    <x v="222"/>
    <s v="CUST671"/>
    <s v="Pooja Verma"/>
    <x v="2"/>
    <x v="1"/>
    <s v="West Bengal"/>
    <x v="1"/>
    <x v="2"/>
    <x v="5"/>
    <n v="646.48"/>
    <n v="5"/>
    <n v="0.04"/>
    <n v="51.72"/>
  </r>
  <r>
    <s v="ORD1208"/>
    <x v="222"/>
    <s v="CUST925"/>
    <s v="Pooja Verma"/>
    <x v="0"/>
    <x v="3"/>
    <s v="Telangana"/>
    <x v="2"/>
    <x v="0"/>
    <x v="6"/>
    <n v="17658.72"/>
    <n v="9"/>
    <n v="0.21"/>
    <n v="-88.29"/>
  </r>
  <r>
    <s v="ORD1343"/>
    <x v="222"/>
    <s v="CUST755"/>
    <s v="Neha Singh"/>
    <x v="0"/>
    <x v="1"/>
    <s v="West Bengal"/>
    <x v="1"/>
    <x v="0"/>
    <x v="6"/>
    <n v="42594.18"/>
    <n v="8"/>
    <n v="0.02"/>
    <n v="3833.48"/>
  </r>
  <r>
    <s v="ORD1779"/>
    <x v="222"/>
    <s v="CUST207"/>
    <s v="Ankit Roy"/>
    <x v="2"/>
    <x v="0"/>
    <s v="Maharashtra"/>
    <x v="0"/>
    <x v="0"/>
    <x v="6"/>
    <n v="28783.29"/>
    <n v="5"/>
    <n v="0.06"/>
    <n v="2014.83"/>
  </r>
  <r>
    <s v="ORD2078"/>
    <x v="222"/>
    <s v="CUST613"/>
    <s v="Ravi Kumar"/>
    <x v="0"/>
    <x v="0"/>
    <s v="Maharashtra"/>
    <x v="0"/>
    <x v="0"/>
    <x v="2"/>
    <n v="43365.47"/>
    <n v="8"/>
    <n v="0.04"/>
    <n v="3469.24"/>
  </r>
  <r>
    <s v="ORD2298"/>
    <x v="222"/>
    <s v="CUST612"/>
    <s v="Amit Sharma"/>
    <x v="1"/>
    <x v="5"/>
    <s v="Tamil Nadu"/>
    <x v="1"/>
    <x v="1"/>
    <x v="1"/>
    <n v="19729.16"/>
    <n v="4"/>
    <n v="0.09"/>
    <n v="1085.0999999999999"/>
  </r>
  <r>
    <s v="ORD1363"/>
    <x v="223"/>
    <s v="CUST410"/>
    <s v="Ravi Kumar"/>
    <x v="2"/>
    <x v="1"/>
    <s v="West Bengal"/>
    <x v="1"/>
    <x v="2"/>
    <x v="5"/>
    <n v="24350.32"/>
    <n v="7"/>
    <n v="0.19"/>
    <n v="121.75"/>
  </r>
  <r>
    <s v="ORD1702"/>
    <x v="223"/>
    <s v="CUST348"/>
    <s v="Neha Singh"/>
    <x v="2"/>
    <x v="3"/>
    <s v="Telangana"/>
    <x v="2"/>
    <x v="1"/>
    <x v="6"/>
    <n v="15618.16"/>
    <n v="1"/>
    <n v="0.28000000000000003"/>
    <n v="-624.73"/>
  </r>
  <r>
    <s v="ORD1937"/>
    <x v="223"/>
    <s v="CUST135"/>
    <s v="Amit Sharma"/>
    <x v="1"/>
    <x v="5"/>
    <s v="Tamil Nadu"/>
    <x v="1"/>
    <x v="2"/>
    <x v="1"/>
    <n v="34327.910000000003"/>
    <n v="8"/>
    <n v="7.0000000000000007E-2"/>
    <n v="2231.31"/>
  </r>
  <r>
    <s v="ORD1948"/>
    <x v="223"/>
    <s v="CUST695"/>
    <s v="Ravi Kumar"/>
    <x v="2"/>
    <x v="3"/>
    <s v="Telangana"/>
    <x v="2"/>
    <x v="0"/>
    <x v="1"/>
    <n v="13774.44"/>
    <n v="7"/>
    <n v="0.04"/>
    <n v="1101.96"/>
  </r>
  <r>
    <s v="ORD2235"/>
    <x v="223"/>
    <s v="CUST522"/>
    <s v="Ravi Kumar"/>
    <x v="1"/>
    <x v="1"/>
    <s v="West Bengal"/>
    <x v="1"/>
    <x v="0"/>
    <x v="4"/>
    <n v="13720.26"/>
    <n v="6"/>
    <n v="0.23"/>
    <n v="-205.8"/>
  </r>
  <r>
    <s v="ORD1162"/>
    <x v="224"/>
    <s v="CUST803"/>
    <s v="Rahul Das"/>
    <x v="1"/>
    <x v="4"/>
    <s v="Karnataka"/>
    <x v="3"/>
    <x v="2"/>
    <x v="4"/>
    <n v="37068.720000000001"/>
    <n v="10"/>
    <n v="0.04"/>
    <n v="2965.5"/>
  </r>
  <r>
    <s v="ORD1816"/>
    <x v="224"/>
    <s v="CUST864"/>
    <s v="Amit Sharma"/>
    <x v="2"/>
    <x v="0"/>
    <s v="Maharashtra"/>
    <x v="0"/>
    <x v="1"/>
    <x v="2"/>
    <n v="29075.439999999999"/>
    <n v="1"/>
    <n v="0.19"/>
    <n v="145.38"/>
  </r>
  <r>
    <s v="ORD2075"/>
    <x v="224"/>
    <s v="CUST419"/>
    <s v="Amit Sharma"/>
    <x v="2"/>
    <x v="3"/>
    <s v="Telangana"/>
    <x v="2"/>
    <x v="2"/>
    <x v="1"/>
    <n v="19401.580000000002"/>
    <n v="2"/>
    <n v="0.15"/>
    <n v="485.04"/>
  </r>
  <r>
    <s v="ORD2042"/>
    <x v="225"/>
    <s v="CUST963"/>
    <s v="Rahul Das"/>
    <x v="0"/>
    <x v="2"/>
    <s v="Delhi"/>
    <x v="2"/>
    <x v="0"/>
    <x v="2"/>
    <n v="35371.160000000003"/>
    <n v="7"/>
    <n v="0.04"/>
    <n v="2829.69"/>
  </r>
  <r>
    <s v="ORD2197"/>
    <x v="225"/>
    <s v="CUST228"/>
    <s v="Amit Sharma"/>
    <x v="2"/>
    <x v="5"/>
    <s v="Tamil Nadu"/>
    <x v="1"/>
    <x v="1"/>
    <x v="2"/>
    <n v="36523.82"/>
    <n v="9"/>
    <n v="0.22"/>
    <n v="-365.24"/>
  </r>
  <r>
    <s v="ORD1194"/>
    <x v="226"/>
    <s v="CUST294"/>
    <s v="Pooja Verma"/>
    <x v="2"/>
    <x v="0"/>
    <s v="Maharashtra"/>
    <x v="0"/>
    <x v="0"/>
    <x v="3"/>
    <n v="2215.52"/>
    <n v="7"/>
    <n v="0.22"/>
    <n v="-22.16"/>
  </r>
  <r>
    <s v="ORD1685"/>
    <x v="227"/>
    <s v="CUST582"/>
    <s v="Pooja Verma"/>
    <x v="2"/>
    <x v="3"/>
    <s v="Telangana"/>
    <x v="2"/>
    <x v="0"/>
    <x v="3"/>
    <n v="674.31"/>
    <n v="7"/>
    <n v="0.19"/>
    <n v="3.37"/>
  </r>
  <r>
    <s v="ORD1806"/>
    <x v="228"/>
    <s v="CUST966"/>
    <s v="Rahul Das"/>
    <x v="2"/>
    <x v="4"/>
    <s v="Karnataka"/>
    <x v="3"/>
    <x v="2"/>
    <x v="5"/>
    <n v="14068.02"/>
    <n v="3"/>
    <n v="0.17"/>
    <n v="211.02"/>
  </r>
  <r>
    <s v="ORD1982"/>
    <x v="228"/>
    <s v="CUST579"/>
    <s v="Ankit Roy"/>
    <x v="0"/>
    <x v="4"/>
    <s v="Karnataka"/>
    <x v="3"/>
    <x v="1"/>
    <x v="3"/>
    <n v="33397.230000000003"/>
    <n v="9"/>
    <n v="0.03"/>
    <n v="2838.76"/>
  </r>
  <r>
    <s v="ORD1284"/>
    <x v="229"/>
    <s v="CUST636"/>
    <s v="Sneha Paul"/>
    <x v="0"/>
    <x v="1"/>
    <s v="West Bengal"/>
    <x v="1"/>
    <x v="2"/>
    <x v="3"/>
    <n v="31456.39"/>
    <n v="1"/>
    <n v="0.28999999999999998"/>
    <n v="-1415.54"/>
  </r>
  <r>
    <s v="ORD1391"/>
    <x v="229"/>
    <s v="CUST197"/>
    <s v="Neha Singh"/>
    <x v="1"/>
    <x v="0"/>
    <s v="Maharashtra"/>
    <x v="0"/>
    <x v="1"/>
    <x v="3"/>
    <n v="42246.96"/>
    <n v="2"/>
    <n v="0.2"/>
    <n v="0"/>
  </r>
  <r>
    <s v="ORD1897"/>
    <x v="229"/>
    <s v="CUST159"/>
    <s v="Ankit Roy"/>
    <x v="0"/>
    <x v="0"/>
    <s v="Maharashtra"/>
    <x v="0"/>
    <x v="2"/>
    <x v="5"/>
    <n v="25909.39"/>
    <n v="9"/>
    <n v="0.21"/>
    <n v="-129.55000000000001"/>
  </r>
  <r>
    <s v="ORD2128"/>
    <x v="229"/>
    <s v="CUST904"/>
    <s v="Rahul Das"/>
    <x v="0"/>
    <x v="1"/>
    <s v="West Bengal"/>
    <x v="1"/>
    <x v="0"/>
    <x v="3"/>
    <n v="41097.440000000002"/>
    <n v="5"/>
    <n v="0.12"/>
    <n v="1643.9"/>
  </r>
  <r>
    <s v="ORD2473"/>
    <x v="229"/>
    <s v="CUST207"/>
    <s v="Amit Sharma"/>
    <x v="2"/>
    <x v="4"/>
    <s v="Karnataka"/>
    <x v="3"/>
    <x v="0"/>
    <x v="6"/>
    <n v="26360.31"/>
    <n v="6"/>
    <n v="0.21"/>
    <n v="-131.80000000000001"/>
  </r>
  <r>
    <s v="ORD1012"/>
    <x v="230"/>
    <s v="CUST142"/>
    <s v="Neha Singh"/>
    <x v="1"/>
    <x v="5"/>
    <s v="Tamil Nadu"/>
    <x v="1"/>
    <x v="0"/>
    <x v="3"/>
    <n v="32091.31"/>
    <n v="8"/>
    <n v="0.12"/>
    <n v="1283.6500000000001"/>
  </r>
  <r>
    <s v="ORD2036"/>
    <x v="230"/>
    <s v="CUST943"/>
    <s v="Pooja Verma"/>
    <x v="2"/>
    <x v="1"/>
    <s v="West Bengal"/>
    <x v="1"/>
    <x v="1"/>
    <x v="5"/>
    <n v="27226.65"/>
    <n v="6"/>
    <n v="0.28000000000000003"/>
    <n v="-1089.07"/>
  </r>
  <r>
    <s v="ORD1136"/>
    <x v="231"/>
    <s v="CUST913"/>
    <s v="Amit Sharma"/>
    <x v="2"/>
    <x v="3"/>
    <s v="Telangana"/>
    <x v="2"/>
    <x v="1"/>
    <x v="2"/>
    <n v="24630"/>
    <n v="6"/>
    <n v="0.12"/>
    <n v="985.2"/>
  </r>
  <r>
    <s v="ORD1264"/>
    <x v="231"/>
    <s v="CUST938"/>
    <s v="Sneha Paul"/>
    <x v="2"/>
    <x v="2"/>
    <s v="Delhi"/>
    <x v="2"/>
    <x v="2"/>
    <x v="5"/>
    <n v="17724.919999999998"/>
    <n v="8"/>
    <n v="0.04"/>
    <n v="1417.99"/>
  </r>
  <r>
    <s v="ORD1300"/>
    <x v="232"/>
    <s v="CUST766"/>
    <s v="Pooja Verma"/>
    <x v="0"/>
    <x v="0"/>
    <s v="Maharashtra"/>
    <x v="0"/>
    <x v="0"/>
    <x v="5"/>
    <n v="44980.83"/>
    <n v="6"/>
    <n v="0.27"/>
    <n v="-1574.33"/>
  </r>
  <r>
    <s v="ORD1310"/>
    <x v="232"/>
    <s v="CUST471"/>
    <s v="Sneha Paul"/>
    <x v="1"/>
    <x v="0"/>
    <s v="Maharashtra"/>
    <x v="0"/>
    <x v="2"/>
    <x v="1"/>
    <n v="35759.72"/>
    <n v="8"/>
    <n v="0.3"/>
    <n v="-1787.99"/>
  </r>
  <r>
    <s v="ORD1438"/>
    <x v="232"/>
    <s v="CUST197"/>
    <s v="Rahul Das"/>
    <x v="0"/>
    <x v="1"/>
    <s v="West Bengal"/>
    <x v="1"/>
    <x v="0"/>
    <x v="5"/>
    <n v="3324.47"/>
    <n v="6"/>
    <n v="0.01"/>
    <n v="315.82"/>
  </r>
  <r>
    <s v="ORD1947"/>
    <x v="232"/>
    <s v="CUST345"/>
    <s v="Amit Sharma"/>
    <x v="1"/>
    <x v="0"/>
    <s v="Maharashtra"/>
    <x v="0"/>
    <x v="0"/>
    <x v="4"/>
    <n v="26098.2"/>
    <n v="9"/>
    <n v="0.02"/>
    <n v="2348.84"/>
  </r>
  <r>
    <s v="ORD2365"/>
    <x v="232"/>
    <s v="CUST219"/>
    <s v="Rahul Das"/>
    <x v="2"/>
    <x v="0"/>
    <s v="Maharashtra"/>
    <x v="0"/>
    <x v="0"/>
    <x v="1"/>
    <n v="45580.17"/>
    <n v="10"/>
    <n v="0.11"/>
    <n v="2051.11"/>
  </r>
  <r>
    <s v="ORD1156"/>
    <x v="233"/>
    <s v="CUST203"/>
    <s v="Ankit Roy"/>
    <x v="2"/>
    <x v="5"/>
    <s v="Tamil Nadu"/>
    <x v="1"/>
    <x v="2"/>
    <x v="3"/>
    <n v="11799.29"/>
    <n v="9"/>
    <n v="0.19"/>
    <n v="59"/>
  </r>
  <r>
    <s v="ORD1223"/>
    <x v="233"/>
    <s v="CUST858"/>
    <s v="Rahul Das"/>
    <x v="0"/>
    <x v="3"/>
    <s v="Telangana"/>
    <x v="2"/>
    <x v="2"/>
    <x v="6"/>
    <n v="26070.14"/>
    <n v="3"/>
    <n v="0.02"/>
    <n v="2346.31"/>
  </r>
  <r>
    <s v="ORD1579"/>
    <x v="233"/>
    <s v="CUST771"/>
    <s v="Ankit Roy"/>
    <x v="1"/>
    <x v="3"/>
    <s v="Telangana"/>
    <x v="2"/>
    <x v="1"/>
    <x v="4"/>
    <n v="912.65"/>
    <n v="5"/>
    <n v="0.04"/>
    <n v="73.010000000000005"/>
  </r>
  <r>
    <s v="ORD2189"/>
    <x v="233"/>
    <s v="CUST492"/>
    <s v="Sneha Paul"/>
    <x v="0"/>
    <x v="2"/>
    <s v="Delhi"/>
    <x v="2"/>
    <x v="0"/>
    <x v="0"/>
    <n v="48469.09"/>
    <n v="9"/>
    <n v="0.14000000000000001"/>
    <n v="1454.07"/>
  </r>
  <r>
    <s v="ORD1616"/>
    <x v="234"/>
    <s v="CUST358"/>
    <s v="Ravi Kumar"/>
    <x v="2"/>
    <x v="5"/>
    <s v="Tamil Nadu"/>
    <x v="1"/>
    <x v="1"/>
    <x v="3"/>
    <n v="49768.41"/>
    <n v="9"/>
    <n v="0.25"/>
    <n v="-1244.21"/>
  </r>
  <r>
    <s v="ORD2109"/>
    <x v="234"/>
    <s v="CUST764"/>
    <s v="Sneha Paul"/>
    <x v="2"/>
    <x v="1"/>
    <s v="West Bengal"/>
    <x v="1"/>
    <x v="2"/>
    <x v="0"/>
    <n v="23833.53"/>
    <n v="2"/>
    <n v="0.1"/>
    <n v="1191.68"/>
  </r>
  <r>
    <s v="ORD1119"/>
    <x v="235"/>
    <s v="CUST442"/>
    <s v="Amit Sharma"/>
    <x v="0"/>
    <x v="2"/>
    <s v="Delhi"/>
    <x v="2"/>
    <x v="2"/>
    <x v="0"/>
    <n v="28409.86"/>
    <n v="7"/>
    <n v="0.02"/>
    <n v="2556.89"/>
  </r>
  <r>
    <s v="ORD1502"/>
    <x v="235"/>
    <s v="CUST129"/>
    <s v="Neha Singh"/>
    <x v="1"/>
    <x v="1"/>
    <s v="West Bengal"/>
    <x v="1"/>
    <x v="2"/>
    <x v="2"/>
    <n v="13476.56"/>
    <n v="5"/>
    <n v="0.15"/>
    <n v="336.91"/>
  </r>
  <r>
    <s v="ORD1866"/>
    <x v="235"/>
    <s v="CUST506"/>
    <s v="Neha Singh"/>
    <x v="0"/>
    <x v="3"/>
    <s v="Telangana"/>
    <x v="2"/>
    <x v="2"/>
    <x v="6"/>
    <n v="1352.85"/>
    <n v="1"/>
    <n v="0.19"/>
    <n v="6.76"/>
  </r>
  <r>
    <s v="ORD1984"/>
    <x v="235"/>
    <s v="CUST494"/>
    <s v="Sneha Paul"/>
    <x v="2"/>
    <x v="1"/>
    <s v="West Bengal"/>
    <x v="1"/>
    <x v="2"/>
    <x v="1"/>
    <n v="18791.95"/>
    <n v="2"/>
    <n v="0.13"/>
    <n v="657.72"/>
  </r>
  <r>
    <s v="ORD2443"/>
    <x v="235"/>
    <s v="CUST486"/>
    <s v="Ankit Roy"/>
    <x v="2"/>
    <x v="3"/>
    <s v="Telangana"/>
    <x v="2"/>
    <x v="1"/>
    <x v="6"/>
    <n v="16929.13"/>
    <n v="1"/>
    <n v="0.3"/>
    <n v="-846.46"/>
  </r>
  <r>
    <s v="ORD1135"/>
    <x v="236"/>
    <s v="CUST435"/>
    <s v="Pooja Verma"/>
    <x v="2"/>
    <x v="0"/>
    <s v="Maharashtra"/>
    <x v="0"/>
    <x v="0"/>
    <x v="0"/>
    <n v="37608.53"/>
    <n v="2"/>
    <n v="0.25"/>
    <n v="-940.21"/>
  </r>
  <r>
    <s v="ORD1461"/>
    <x v="236"/>
    <s v="CUST839"/>
    <s v="Pooja Verma"/>
    <x v="0"/>
    <x v="4"/>
    <s v="Karnataka"/>
    <x v="3"/>
    <x v="2"/>
    <x v="2"/>
    <n v="41917.54"/>
    <n v="4"/>
    <n v="0.06"/>
    <n v="2934.23"/>
  </r>
  <r>
    <s v="ORD1793"/>
    <x v="236"/>
    <s v="CUST900"/>
    <s v="Pooja Verma"/>
    <x v="1"/>
    <x v="2"/>
    <s v="Delhi"/>
    <x v="2"/>
    <x v="1"/>
    <x v="1"/>
    <n v="2722.98"/>
    <n v="4"/>
    <n v="0.14000000000000001"/>
    <n v="81.69"/>
  </r>
  <r>
    <s v="ORD2243"/>
    <x v="236"/>
    <s v="CUST130"/>
    <s v="Ravi Kumar"/>
    <x v="2"/>
    <x v="0"/>
    <s v="Maharashtra"/>
    <x v="0"/>
    <x v="1"/>
    <x v="4"/>
    <n v="18791.990000000002"/>
    <n v="6"/>
    <n v="0.02"/>
    <n v="1691.28"/>
  </r>
  <r>
    <s v="ORD1784"/>
    <x v="237"/>
    <s v="CUST955"/>
    <s v="Rahul Das"/>
    <x v="1"/>
    <x v="5"/>
    <s v="Tamil Nadu"/>
    <x v="1"/>
    <x v="2"/>
    <x v="0"/>
    <n v="1642.35"/>
    <n v="9"/>
    <n v="0.21"/>
    <n v="-8.2100000000000009"/>
  </r>
  <r>
    <s v="ORD2201"/>
    <x v="237"/>
    <s v="CUST319"/>
    <s v="Neha Singh"/>
    <x v="1"/>
    <x v="0"/>
    <s v="Maharashtra"/>
    <x v="0"/>
    <x v="0"/>
    <x v="5"/>
    <n v="46424.6"/>
    <n v="1"/>
    <n v="0.28000000000000003"/>
    <n v="-1856.98"/>
  </r>
  <r>
    <s v="ORD2401"/>
    <x v="237"/>
    <s v="CUST298"/>
    <s v="Neha Singh"/>
    <x v="2"/>
    <x v="1"/>
    <s v="West Bengal"/>
    <x v="1"/>
    <x v="0"/>
    <x v="0"/>
    <n v="13938.41"/>
    <n v="8"/>
    <n v="0.09"/>
    <n v="766.61"/>
  </r>
  <r>
    <s v="ORD1308"/>
    <x v="238"/>
    <s v="CUST338"/>
    <s v="Rahul Das"/>
    <x v="2"/>
    <x v="1"/>
    <s v="West Bengal"/>
    <x v="1"/>
    <x v="0"/>
    <x v="6"/>
    <n v="2116.92"/>
    <n v="8"/>
    <n v="0.12"/>
    <n v="84.68"/>
  </r>
  <r>
    <s v="ORD1575"/>
    <x v="238"/>
    <s v="CUST372"/>
    <s v="Neha Singh"/>
    <x v="2"/>
    <x v="3"/>
    <s v="Telangana"/>
    <x v="2"/>
    <x v="2"/>
    <x v="0"/>
    <n v="40845.199999999997"/>
    <n v="8"/>
    <n v="0.26"/>
    <n v="-1225.3599999999999"/>
  </r>
  <r>
    <s v="ORD1939"/>
    <x v="238"/>
    <s v="CUST114"/>
    <s v="Ankit Roy"/>
    <x v="2"/>
    <x v="4"/>
    <s v="Karnataka"/>
    <x v="3"/>
    <x v="1"/>
    <x v="6"/>
    <n v="42357.84"/>
    <n v="2"/>
    <n v="0.28999999999999998"/>
    <n v="-1906.1"/>
  </r>
  <r>
    <s v="ORD2143"/>
    <x v="238"/>
    <s v="CUST667"/>
    <s v="Ankit Roy"/>
    <x v="1"/>
    <x v="3"/>
    <s v="Telangana"/>
    <x v="2"/>
    <x v="0"/>
    <x v="3"/>
    <n v="36415.65"/>
    <n v="6"/>
    <n v="0.05"/>
    <n v="2731.17"/>
  </r>
  <r>
    <s v="ORD2149"/>
    <x v="238"/>
    <s v="CUST755"/>
    <s v="Pooja Verma"/>
    <x v="1"/>
    <x v="0"/>
    <s v="Maharashtra"/>
    <x v="0"/>
    <x v="0"/>
    <x v="1"/>
    <n v="27366.44"/>
    <n v="10"/>
    <n v="0.28999999999999998"/>
    <n v="-1231.49"/>
  </r>
  <r>
    <s v="ORD1058"/>
    <x v="239"/>
    <s v="CUST124"/>
    <s v="Amit Sharma"/>
    <x v="0"/>
    <x v="3"/>
    <s v="Telangana"/>
    <x v="2"/>
    <x v="0"/>
    <x v="0"/>
    <n v="41045.440000000002"/>
    <n v="4"/>
    <n v="0.26"/>
    <n v="-1231.3599999999999"/>
  </r>
  <r>
    <s v="ORD2183"/>
    <x v="239"/>
    <s v="CUST646"/>
    <s v="Neha Singh"/>
    <x v="1"/>
    <x v="0"/>
    <s v="Maharashtra"/>
    <x v="0"/>
    <x v="0"/>
    <x v="5"/>
    <n v="11788.33"/>
    <n v="3"/>
    <n v="0.25"/>
    <n v="-294.70999999999998"/>
  </r>
  <r>
    <s v="ORD2261"/>
    <x v="239"/>
    <s v="CUST818"/>
    <s v="Sneha Paul"/>
    <x v="0"/>
    <x v="5"/>
    <s v="Tamil Nadu"/>
    <x v="1"/>
    <x v="0"/>
    <x v="3"/>
    <n v="14052.16"/>
    <n v="2"/>
    <n v="0.27"/>
    <n v="-491.83"/>
  </r>
  <r>
    <s v="ORD1396"/>
    <x v="240"/>
    <s v="CUST985"/>
    <s v="Rahul Das"/>
    <x v="1"/>
    <x v="3"/>
    <s v="Telangana"/>
    <x v="2"/>
    <x v="0"/>
    <x v="6"/>
    <n v="6590.49"/>
    <n v="8"/>
    <n v="0.1"/>
    <n v="329.52"/>
  </r>
  <r>
    <s v="ORD1386"/>
    <x v="241"/>
    <s v="CUST793"/>
    <s v="Pooja Verma"/>
    <x v="0"/>
    <x v="0"/>
    <s v="Maharashtra"/>
    <x v="0"/>
    <x v="1"/>
    <x v="4"/>
    <n v="18395.509999999998"/>
    <n v="1"/>
    <n v="0.03"/>
    <n v="1563.62"/>
  </r>
  <r>
    <s v="ORD2208"/>
    <x v="241"/>
    <s v="CUST808"/>
    <s v="Rahul Das"/>
    <x v="1"/>
    <x v="3"/>
    <s v="Telangana"/>
    <x v="2"/>
    <x v="1"/>
    <x v="1"/>
    <n v="16734.740000000002"/>
    <n v="4"/>
    <n v="0.23"/>
    <n v="-251.02"/>
  </r>
  <r>
    <s v="ORD1417"/>
    <x v="242"/>
    <s v="CUST478"/>
    <s v="Sneha Paul"/>
    <x v="1"/>
    <x v="0"/>
    <s v="Maharashtra"/>
    <x v="0"/>
    <x v="0"/>
    <x v="1"/>
    <n v="17204.990000000002"/>
    <n v="9"/>
    <n v="0.28000000000000003"/>
    <n v="-688.2"/>
  </r>
  <r>
    <s v="ORD1490"/>
    <x v="242"/>
    <s v="CUST245"/>
    <s v="Pooja Verma"/>
    <x v="0"/>
    <x v="3"/>
    <s v="Telangana"/>
    <x v="2"/>
    <x v="2"/>
    <x v="1"/>
    <n v="33909.78"/>
    <n v="3"/>
    <n v="0.15"/>
    <n v="847.74"/>
  </r>
  <r>
    <s v="ORD1698"/>
    <x v="242"/>
    <s v="CUST719"/>
    <s v="Amit Sharma"/>
    <x v="0"/>
    <x v="2"/>
    <s v="Delhi"/>
    <x v="2"/>
    <x v="2"/>
    <x v="4"/>
    <n v="6094.57"/>
    <n v="7"/>
    <n v="0.14000000000000001"/>
    <n v="182.84"/>
  </r>
  <r>
    <s v="ORD1722"/>
    <x v="242"/>
    <s v="CUST163"/>
    <s v="Rahul Das"/>
    <x v="1"/>
    <x v="0"/>
    <s v="Maharashtra"/>
    <x v="0"/>
    <x v="1"/>
    <x v="4"/>
    <n v="9315.2800000000007"/>
    <n v="10"/>
    <n v="0.15"/>
    <n v="232.88"/>
  </r>
  <r>
    <s v="ORD1028"/>
    <x v="243"/>
    <s v="CUST565"/>
    <s v="Pooja Verma"/>
    <x v="0"/>
    <x v="4"/>
    <s v="Karnataka"/>
    <x v="3"/>
    <x v="1"/>
    <x v="1"/>
    <n v="14926.66"/>
    <n v="4"/>
    <n v="0.05"/>
    <n v="1119.5"/>
  </r>
  <r>
    <s v="ORD1093"/>
    <x v="244"/>
    <s v="CUST847"/>
    <s v="Neha Singh"/>
    <x v="1"/>
    <x v="4"/>
    <s v="Karnataka"/>
    <x v="3"/>
    <x v="1"/>
    <x v="2"/>
    <n v="4714.78"/>
    <n v="7"/>
    <n v="0.02"/>
    <n v="424.33"/>
  </r>
  <r>
    <s v="ORD1406"/>
    <x v="244"/>
    <s v="CUST268"/>
    <s v="Ravi Kumar"/>
    <x v="1"/>
    <x v="3"/>
    <s v="Telangana"/>
    <x v="2"/>
    <x v="0"/>
    <x v="3"/>
    <n v="26841.58"/>
    <n v="8"/>
    <n v="0.13"/>
    <n v="939.46"/>
  </r>
  <r>
    <s v="ORD1421"/>
    <x v="244"/>
    <s v="CUST104"/>
    <s v="Ravi Kumar"/>
    <x v="0"/>
    <x v="5"/>
    <s v="Tamil Nadu"/>
    <x v="1"/>
    <x v="2"/>
    <x v="4"/>
    <n v="29677.14"/>
    <n v="8"/>
    <n v="0.05"/>
    <n v="2225.79"/>
  </r>
  <r>
    <s v="ORD1214"/>
    <x v="245"/>
    <s v="CUST673"/>
    <s v="Neha Singh"/>
    <x v="0"/>
    <x v="5"/>
    <s v="Tamil Nadu"/>
    <x v="1"/>
    <x v="2"/>
    <x v="1"/>
    <n v="19520.63"/>
    <n v="6"/>
    <n v="0.27"/>
    <n v="-683.22"/>
  </r>
  <r>
    <s v="ORD1771"/>
    <x v="245"/>
    <s v="CUST920"/>
    <s v="Neha Singh"/>
    <x v="0"/>
    <x v="3"/>
    <s v="Telangana"/>
    <x v="2"/>
    <x v="0"/>
    <x v="3"/>
    <n v="20138.5"/>
    <n v="1"/>
    <n v="0.2"/>
    <n v="0"/>
  </r>
  <r>
    <s v="ORD1783"/>
    <x v="246"/>
    <s v="CUST555"/>
    <s v="Amit Sharma"/>
    <x v="0"/>
    <x v="3"/>
    <s v="Telangana"/>
    <x v="2"/>
    <x v="1"/>
    <x v="0"/>
    <n v="26571.58"/>
    <n v="4"/>
    <n v="0.19"/>
    <n v="132.86000000000001"/>
  </r>
  <r>
    <s v="ORD2125"/>
    <x v="246"/>
    <s v="CUST747"/>
    <s v="Sneha Paul"/>
    <x v="1"/>
    <x v="5"/>
    <s v="Tamil Nadu"/>
    <x v="1"/>
    <x v="0"/>
    <x v="0"/>
    <n v="23809.07"/>
    <n v="8"/>
    <n v="7.0000000000000007E-2"/>
    <n v="1547.59"/>
  </r>
  <r>
    <s v="ORD2257"/>
    <x v="246"/>
    <s v="CUST421"/>
    <s v="Ravi Kumar"/>
    <x v="0"/>
    <x v="4"/>
    <s v="Karnataka"/>
    <x v="3"/>
    <x v="1"/>
    <x v="4"/>
    <n v="4820.3599999999997"/>
    <n v="3"/>
    <n v="0.22"/>
    <n v="-48.2"/>
  </r>
  <r>
    <s v="ORD2419"/>
    <x v="246"/>
    <s v="CUST821"/>
    <s v="Rahul Das"/>
    <x v="1"/>
    <x v="4"/>
    <s v="Karnataka"/>
    <x v="3"/>
    <x v="2"/>
    <x v="2"/>
    <n v="49246.61"/>
    <n v="7"/>
    <n v="0.25"/>
    <n v="-1231.17"/>
  </r>
  <r>
    <s v="ORD1164"/>
    <x v="247"/>
    <s v="CUST193"/>
    <s v="Rahul Das"/>
    <x v="2"/>
    <x v="3"/>
    <s v="Telangana"/>
    <x v="2"/>
    <x v="2"/>
    <x v="0"/>
    <n v="45858.34"/>
    <n v="9"/>
    <n v="0.05"/>
    <n v="3439.38"/>
  </r>
  <r>
    <s v="ORD1909"/>
    <x v="248"/>
    <s v="CUST883"/>
    <s v="Ravi Kumar"/>
    <x v="0"/>
    <x v="1"/>
    <s v="West Bengal"/>
    <x v="1"/>
    <x v="1"/>
    <x v="5"/>
    <n v="13445.42"/>
    <n v="9"/>
    <n v="0"/>
    <n v="1344.54"/>
  </r>
  <r>
    <s v="ORD1329"/>
    <x v="249"/>
    <s v="CUST385"/>
    <s v="Pooja Verma"/>
    <x v="1"/>
    <x v="1"/>
    <s v="West Bengal"/>
    <x v="1"/>
    <x v="2"/>
    <x v="2"/>
    <n v="41182.720000000001"/>
    <n v="10"/>
    <n v="0.01"/>
    <n v="3912.36"/>
  </r>
  <r>
    <s v="ORD1545"/>
    <x v="249"/>
    <s v="CUST216"/>
    <s v="Rahul Das"/>
    <x v="1"/>
    <x v="3"/>
    <s v="Telangana"/>
    <x v="2"/>
    <x v="1"/>
    <x v="4"/>
    <n v="20938.29"/>
    <n v="10"/>
    <n v="0.14000000000000001"/>
    <n v="628.15"/>
  </r>
  <r>
    <s v="ORD2034"/>
    <x v="249"/>
    <s v="CUST502"/>
    <s v="Pooja Verma"/>
    <x v="0"/>
    <x v="2"/>
    <s v="Delhi"/>
    <x v="2"/>
    <x v="2"/>
    <x v="1"/>
    <n v="1203.3599999999999"/>
    <n v="2"/>
    <n v="0.11"/>
    <n v="54.15"/>
  </r>
  <r>
    <s v="ORD1373"/>
    <x v="250"/>
    <s v="CUST836"/>
    <s v="Sneha Paul"/>
    <x v="2"/>
    <x v="3"/>
    <s v="Telangana"/>
    <x v="2"/>
    <x v="1"/>
    <x v="6"/>
    <n v="40786.21"/>
    <n v="4"/>
    <n v="0.27"/>
    <n v="-1427.52"/>
  </r>
  <r>
    <s v="ORD1555"/>
    <x v="251"/>
    <s v="CUST380"/>
    <s v="Pooja Verma"/>
    <x v="2"/>
    <x v="2"/>
    <s v="Delhi"/>
    <x v="2"/>
    <x v="0"/>
    <x v="2"/>
    <n v="16340.14"/>
    <n v="1"/>
    <n v="0.19"/>
    <n v="81.7"/>
  </r>
  <r>
    <s v="ORD1586"/>
    <x v="251"/>
    <s v="CUST792"/>
    <s v="Amit Sharma"/>
    <x v="2"/>
    <x v="3"/>
    <s v="Telangana"/>
    <x v="2"/>
    <x v="0"/>
    <x v="4"/>
    <n v="31494.63"/>
    <n v="4"/>
    <n v="0.28000000000000003"/>
    <n v="-1259.79"/>
  </r>
  <r>
    <s v="ORD1708"/>
    <x v="251"/>
    <s v="CUST260"/>
    <s v="Pooja Verma"/>
    <x v="1"/>
    <x v="1"/>
    <s v="West Bengal"/>
    <x v="1"/>
    <x v="2"/>
    <x v="4"/>
    <n v="46428.93"/>
    <n v="4"/>
    <n v="0.21"/>
    <n v="-232.14"/>
  </r>
  <r>
    <s v="ORD1411"/>
    <x v="252"/>
    <s v="CUST179"/>
    <s v="Amit Sharma"/>
    <x v="2"/>
    <x v="2"/>
    <s v="Delhi"/>
    <x v="2"/>
    <x v="0"/>
    <x v="1"/>
    <n v="31449.58"/>
    <n v="10"/>
    <n v="0.11"/>
    <n v="1415.23"/>
  </r>
  <r>
    <s v="ORD1526"/>
    <x v="252"/>
    <s v="CUST720"/>
    <s v="Rahul Das"/>
    <x v="1"/>
    <x v="5"/>
    <s v="Tamil Nadu"/>
    <x v="1"/>
    <x v="1"/>
    <x v="3"/>
    <n v="48855.59"/>
    <n v="7"/>
    <n v="0.18"/>
    <n v="488.56"/>
  </r>
  <r>
    <s v="ORD1332"/>
    <x v="253"/>
    <s v="CUST208"/>
    <s v="Amit Sharma"/>
    <x v="2"/>
    <x v="2"/>
    <s v="Delhi"/>
    <x v="2"/>
    <x v="2"/>
    <x v="5"/>
    <n v="25488.22"/>
    <n v="10"/>
    <n v="0.12"/>
    <n v="1019.53"/>
  </r>
  <r>
    <s v="ORD1712"/>
    <x v="253"/>
    <s v="CUST851"/>
    <s v="Ravi Kumar"/>
    <x v="1"/>
    <x v="3"/>
    <s v="Telangana"/>
    <x v="2"/>
    <x v="0"/>
    <x v="0"/>
    <n v="8682.3700000000008"/>
    <n v="10"/>
    <n v="0.2"/>
    <n v="0"/>
  </r>
  <r>
    <s v="ORD1002"/>
    <x v="254"/>
    <s v="CUST508"/>
    <s v="Neha Singh"/>
    <x v="2"/>
    <x v="4"/>
    <s v="Karnataka"/>
    <x v="3"/>
    <x v="0"/>
    <x v="3"/>
    <n v="18495.63"/>
    <n v="3"/>
    <n v="0.21"/>
    <n v="-92.48"/>
  </r>
  <r>
    <s v="ORD2438"/>
    <x v="254"/>
    <s v="CUST896"/>
    <s v="Ravi Kumar"/>
    <x v="1"/>
    <x v="5"/>
    <s v="Tamil Nadu"/>
    <x v="1"/>
    <x v="2"/>
    <x v="1"/>
    <n v="16413.080000000002"/>
    <n v="2"/>
    <n v="0.26"/>
    <n v="-492.39"/>
  </r>
  <r>
    <s v="ORD1137"/>
    <x v="255"/>
    <s v="CUST567"/>
    <s v="Amit Sharma"/>
    <x v="2"/>
    <x v="3"/>
    <s v="Telangana"/>
    <x v="2"/>
    <x v="0"/>
    <x v="0"/>
    <n v="23853.72"/>
    <n v="5"/>
    <n v="0.13"/>
    <n v="834.88"/>
  </r>
  <r>
    <s v="ORD1374"/>
    <x v="255"/>
    <s v="CUST217"/>
    <s v="Pooja Verma"/>
    <x v="0"/>
    <x v="2"/>
    <s v="Delhi"/>
    <x v="2"/>
    <x v="0"/>
    <x v="0"/>
    <n v="11406.95"/>
    <n v="3"/>
    <n v="0.12"/>
    <n v="456.28"/>
  </r>
  <r>
    <s v="ORD1487"/>
    <x v="256"/>
    <s v="CUST505"/>
    <s v="Ankit Roy"/>
    <x v="1"/>
    <x v="5"/>
    <s v="Tamil Nadu"/>
    <x v="1"/>
    <x v="1"/>
    <x v="0"/>
    <n v="2623.83"/>
    <n v="3"/>
    <n v="0.27"/>
    <n v="-91.83"/>
  </r>
  <r>
    <s v="ORD1792"/>
    <x v="256"/>
    <s v="CUST809"/>
    <s v="Ravi Kumar"/>
    <x v="0"/>
    <x v="2"/>
    <s v="Delhi"/>
    <x v="2"/>
    <x v="0"/>
    <x v="1"/>
    <n v="35920.06"/>
    <n v="3"/>
    <n v="0.2"/>
    <n v="0"/>
  </r>
  <r>
    <s v="ORD1846"/>
    <x v="257"/>
    <s v="CUST965"/>
    <s v="Ravi Kumar"/>
    <x v="1"/>
    <x v="0"/>
    <s v="Maharashtra"/>
    <x v="0"/>
    <x v="1"/>
    <x v="3"/>
    <n v="15608.49"/>
    <n v="6"/>
    <n v="0.19"/>
    <n v="78.040000000000006"/>
  </r>
  <r>
    <s v="ORD1420"/>
    <x v="258"/>
    <s v="CUST384"/>
    <s v="Pooja Verma"/>
    <x v="1"/>
    <x v="0"/>
    <s v="Maharashtra"/>
    <x v="0"/>
    <x v="2"/>
    <x v="0"/>
    <n v="47811.76"/>
    <n v="7"/>
    <n v="0.15"/>
    <n v="1195.29"/>
  </r>
  <r>
    <s v="ORD1347"/>
    <x v="259"/>
    <s v="CUST906"/>
    <s v="Ankit Roy"/>
    <x v="1"/>
    <x v="1"/>
    <s v="West Bengal"/>
    <x v="1"/>
    <x v="2"/>
    <x v="2"/>
    <n v="47229.3"/>
    <n v="9"/>
    <n v="0.25"/>
    <n v="-1180.73"/>
  </r>
  <r>
    <s v="ORD1684"/>
    <x v="259"/>
    <s v="CUST160"/>
    <s v="Pooja Verma"/>
    <x v="0"/>
    <x v="1"/>
    <s v="West Bengal"/>
    <x v="1"/>
    <x v="0"/>
    <x v="6"/>
    <n v="13941.08"/>
    <n v="2"/>
    <n v="0.13"/>
    <n v="487.94"/>
  </r>
  <r>
    <s v="ORD2006"/>
    <x v="259"/>
    <s v="CUST793"/>
    <s v="Neha Singh"/>
    <x v="0"/>
    <x v="0"/>
    <s v="Maharashtra"/>
    <x v="0"/>
    <x v="1"/>
    <x v="6"/>
    <n v="39574.82"/>
    <n v="5"/>
    <n v="0.08"/>
    <n v="2374.4899999999998"/>
  </r>
  <r>
    <s v="ORD2155"/>
    <x v="259"/>
    <s v="CUST733"/>
    <s v="Pooja Verma"/>
    <x v="0"/>
    <x v="5"/>
    <s v="Tamil Nadu"/>
    <x v="1"/>
    <x v="1"/>
    <x v="4"/>
    <n v="39298.550000000003"/>
    <n v="2"/>
    <n v="0.19"/>
    <n v="196.49"/>
  </r>
  <r>
    <s v="ORD2319"/>
    <x v="259"/>
    <s v="CUST260"/>
    <s v="Amit Sharma"/>
    <x v="1"/>
    <x v="5"/>
    <s v="Tamil Nadu"/>
    <x v="1"/>
    <x v="1"/>
    <x v="6"/>
    <n v="11645.26"/>
    <n v="10"/>
    <n v="0.2"/>
    <n v="0"/>
  </r>
  <r>
    <s v="ORD1033"/>
    <x v="260"/>
    <s v="CUST608"/>
    <s v="Ravi Kumar"/>
    <x v="2"/>
    <x v="1"/>
    <s v="West Bengal"/>
    <x v="1"/>
    <x v="0"/>
    <x v="3"/>
    <n v="6104.66"/>
    <n v="2"/>
    <n v="0.23"/>
    <n v="-91.57"/>
  </r>
  <r>
    <s v="ORD1762"/>
    <x v="261"/>
    <s v="CUST678"/>
    <s v="Ravi Kumar"/>
    <x v="0"/>
    <x v="5"/>
    <s v="Tamil Nadu"/>
    <x v="1"/>
    <x v="1"/>
    <x v="0"/>
    <n v="9994.85"/>
    <n v="3"/>
    <n v="0.06"/>
    <n v="699.64"/>
  </r>
  <r>
    <s v="ORD1895"/>
    <x v="261"/>
    <s v="CUST686"/>
    <s v="Neha Singh"/>
    <x v="2"/>
    <x v="2"/>
    <s v="Delhi"/>
    <x v="2"/>
    <x v="0"/>
    <x v="5"/>
    <n v="15287.35"/>
    <n v="5"/>
    <n v="7.0000000000000007E-2"/>
    <n v="993.68"/>
  </r>
  <r>
    <s v="ORD2468"/>
    <x v="262"/>
    <s v="CUST166"/>
    <s v="Sneha Paul"/>
    <x v="0"/>
    <x v="3"/>
    <s v="Telangana"/>
    <x v="2"/>
    <x v="2"/>
    <x v="4"/>
    <n v="45801.26"/>
    <n v="4"/>
    <n v="0.04"/>
    <n v="3664.1"/>
  </r>
  <r>
    <s v="ORD1071"/>
    <x v="263"/>
    <s v="CUST941"/>
    <s v="Ravi Kumar"/>
    <x v="1"/>
    <x v="0"/>
    <s v="Maharashtra"/>
    <x v="0"/>
    <x v="0"/>
    <x v="6"/>
    <n v="2648.16"/>
    <n v="7"/>
    <n v="0.2"/>
    <n v="0"/>
  </r>
  <r>
    <s v="ORD1190"/>
    <x v="263"/>
    <s v="CUST660"/>
    <s v="Neha Singh"/>
    <x v="1"/>
    <x v="2"/>
    <s v="Delhi"/>
    <x v="2"/>
    <x v="2"/>
    <x v="6"/>
    <n v="21232.31"/>
    <n v="9"/>
    <n v="0.25"/>
    <n v="-530.80999999999995"/>
  </r>
  <r>
    <s v="ORD1558"/>
    <x v="263"/>
    <s v="CUST593"/>
    <s v="Pooja Verma"/>
    <x v="0"/>
    <x v="1"/>
    <s v="West Bengal"/>
    <x v="1"/>
    <x v="2"/>
    <x v="1"/>
    <n v="41397.730000000003"/>
    <n v="4"/>
    <n v="0.25"/>
    <n v="-1034.94"/>
  </r>
  <r>
    <s v="ORD2163"/>
    <x v="263"/>
    <s v="CUST574"/>
    <s v="Neha Singh"/>
    <x v="1"/>
    <x v="0"/>
    <s v="Maharashtra"/>
    <x v="0"/>
    <x v="0"/>
    <x v="6"/>
    <n v="30891.439999999999"/>
    <n v="7"/>
    <n v="0.18"/>
    <n v="308.91000000000003"/>
  </r>
  <r>
    <s v="ORD1098"/>
    <x v="264"/>
    <s v="CUST625"/>
    <s v="Neha Singh"/>
    <x v="1"/>
    <x v="2"/>
    <s v="Delhi"/>
    <x v="2"/>
    <x v="2"/>
    <x v="1"/>
    <n v="17398.939999999999"/>
    <n v="8"/>
    <n v="0.02"/>
    <n v="1565.9"/>
  </r>
  <r>
    <s v="ORD1109"/>
    <x v="264"/>
    <s v="CUST608"/>
    <s v="Amit Sharma"/>
    <x v="2"/>
    <x v="2"/>
    <s v="Delhi"/>
    <x v="2"/>
    <x v="1"/>
    <x v="1"/>
    <n v="23235.64"/>
    <n v="10"/>
    <n v="0.24"/>
    <n v="-464.71"/>
  </r>
  <r>
    <s v="ORD1187"/>
    <x v="264"/>
    <s v="CUST999"/>
    <s v="Neha Singh"/>
    <x v="1"/>
    <x v="0"/>
    <s v="Maharashtra"/>
    <x v="0"/>
    <x v="2"/>
    <x v="3"/>
    <n v="4227.2"/>
    <n v="6"/>
    <n v="0.17"/>
    <n v="63.41"/>
  </r>
  <r>
    <s v="ORD1419"/>
    <x v="264"/>
    <s v="CUST676"/>
    <s v="Sneha Paul"/>
    <x v="2"/>
    <x v="5"/>
    <s v="Tamil Nadu"/>
    <x v="1"/>
    <x v="0"/>
    <x v="5"/>
    <n v="19440.05"/>
    <n v="7"/>
    <n v="0.09"/>
    <n v="1069.2"/>
  </r>
  <r>
    <s v="ORD1860"/>
    <x v="264"/>
    <s v="CUST126"/>
    <s v="Ravi Kumar"/>
    <x v="0"/>
    <x v="4"/>
    <s v="Karnataka"/>
    <x v="3"/>
    <x v="0"/>
    <x v="3"/>
    <n v="9510.7000000000007"/>
    <n v="8"/>
    <n v="0.02"/>
    <n v="855.96"/>
  </r>
  <r>
    <s v="ORD2447"/>
    <x v="264"/>
    <s v="CUST985"/>
    <s v="Neha Singh"/>
    <x v="0"/>
    <x v="2"/>
    <s v="Delhi"/>
    <x v="2"/>
    <x v="0"/>
    <x v="4"/>
    <n v="44830.239999999998"/>
    <n v="1"/>
    <n v="0.11"/>
    <n v="2017.36"/>
  </r>
  <r>
    <s v="ORD1174"/>
    <x v="265"/>
    <s v="CUST361"/>
    <s v="Ankit Roy"/>
    <x v="0"/>
    <x v="4"/>
    <s v="Karnataka"/>
    <x v="3"/>
    <x v="1"/>
    <x v="6"/>
    <n v="17165.400000000001"/>
    <n v="7"/>
    <n v="0.28999999999999998"/>
    <n v="-772.44"/>
  </r>
  <r>
    <s v="ORD1847"/>
    <x v="265"/>
    <s v="CUST271"/>
    <s v="Sneha Paul"/>
    <x v="0"/>
    <x v="2"/>
    <s v="Delhi"/>
    <x v="2"/>
    <x v="2"/>
    <x v="0"/>
    <n v="15701.15"/>
    <n v="1"/>
    <n v="0"/>
    <n v="1570.12"/>
  </r>
  <r>
    <s v="ORD2439"/>
    <x v="265"/>
    <s v="CUST965"/>
    <s v="Amit Sharma"/>
    <x v="2"/>
    <x v="3"/>
    <s v="Telangana"/>
    <x v="2"/>
    <x v="2"/>
    <x v="4"/>
    <n v="24625.439999999999"/>
    <n v="8"/>
    <n v="0.06"/>
    <n v="1723.78"/>
  </r>
  <r>
    <s v="ORD1166"/>
    <x v="266"/>
    <s v="CUST264"/>
    <s v="Ravi Kumar"/>
    <x v="0"/>
    <x v="2"/>
    <s v="Delhi"/>
    <x v="2"/>
    <x v="0"/>
    <x v="3"/>
    <n v="39422.449999999997"/>
    <n v="9"/>
    <n v="0.24"/>
    <n v="-788.45"/>
  </r>
  <r>
    <s v="ORD1322"/>
    <x v="266"/>
    <s v="CUST734"/>
    <s v="Ravi Kumar"/>
    <x v="1"/>
    <x v="2"/>
    <s v="Delhi"/>
    <x v="2"/>
    <x v="1"/>
    <x v="3"/>
    <n v="26080.99"/>
    <n v="4"/>
    <n v="0.24"/>
    <n v="-521.62"/>
  </r>
  <r>
    <s v="ORD1364"/>
    <x v="266"/>
    <s v="CUST308"/>
    <s v="Ravi Kumar"/>
    <x v="2"/>
    <x v="4"/>
    <s v="Karnataka"/>
    <x v="3"/>
    <x v="2"/>
    <x v="6"/>
    <n v="15516.59"/>
    <n v="4"/>
    <n v="0.13"/>
    <n v="543.08000000000004"/>
  </r>
  <r>
    <s v="ORD2126"/>
    <x v="266"/>
    <s v="CUST850"/>
    <s v="Rahul Das"/>
    <x v="1"/>
    <x v="4"/>
    <s v="Karnataka"/>
    <x v="3"/>
    <x v="0"/>
    <x v="3"/>
    <n v="2107.88"/>
    <n v="8"/>
    <n v="0.25"/>
    <n v="-52.7"/>
  </r>
  <r>
    <s v="ORD1169"/>
    <x v="267"/>
    <s v="CUST436"/>
    <s v="Rahul Das"/>
    <x v="0"/>
    <x v="3"/>
    <s v="Telangana"/>
    <x v="2"/>
    <x v="1"/>
    <x v="1"/>
    <n v="34843.53"/>
    <n v="10"/>
    <n v="0.17"/>
    <n v="522.65"/>
  </r>
  <r>
    <s v="ORD1437"/>
    <x v="267"/>
    <s v="CUST227"/>
    <s v="Ankit Roy"/>
    <x v="1"/>
    <x v="0"/>
    <s v="Maharashtra"/>
    <x v="0"/>
    <x v="1"/>
    <x v="4"/>
    <n v="9514.5499999999993"/>
    <n v="3"/>
    <n v="0.02"/>
    <n v="856.31"/>
  </r>
  <r>
    <s v="ORD1935"/>
    <x v="267"/>
    <s v="CUST247"/>
    <s v="Ankit Roy"/>
    <x v="0"/>
    <x v="5"/>
    <s v="Tamil Nadu"/>
    <x v="1"/>
    <x v="2"/>
    <x v="3"/>
    <n v="11729.03"/>
    <n v="9"/>
    <n v="0.16"/>
    <n v="234.58"/>
  </r>
  <r>
    <s v="ORD2305"/>
    <x v="267"/>
    <s v="CUST958"/>
    <s v="Sneha Paul"/>
    <x v="1"/>
    <x v="0"/>
    <s v="Maharashtra"/>
    <x v="0"/>
    <x v="2"/>
    <x v="0"/>
    <n v="6718.5"/>
    <n v="4"/>
    <n v="0.06"/>
    <n v="470.3"/>
  </r>
  <r>
    <s v="ORD1850"/>
    <x v="268"/>
    <s v="CUST107"/>
    <s v="Sneha Paul"/>
    <x v="2"/>
    <x v="2"/>
    <s v="Delhi"/>
    <x v="2"/>
    <x v="1"/>
    <x v="2"/>
    <n v="26991.14"/>
    <n v="5"/>
    <n v="0.18"/>
    <n v="269.91000000000003"/>
  </r>
  <r>
    <s v="ORD1910"/>
    <x v="268"/>
    <s v="CUST274"/>
    <s v="Ravi Kumar"/>
    <x v="1"/>
    <x v="1"/>
    <s v="West Bengal"/>
    <x v="1"/>
    <x v="2"/>
    <x v="4"/>
    <n v="38685.620000000003"/>
    <n v="7"/>
    <n v="0.28000000000000003"/>
    <n v="-1547.42"/>
  </r>
  <r>
    <s v="ORD2339"/>
    <x v="268"/>
    <s v="CUST420"/>
    <s v="Ravi Kumar"/>
    <x v="1"/>
    <x v="3"/>
    <s v="Telangana"/>
    <x v="2"/>
    <x v="1"/>
    <x v="6"/>
    <n v="7734.48"/>
    <n v="2"/>
    <n v="0.11"/>
    <n v="348.05"/>
  </r>
  <r>
    <s v="ORD1524"/>
    <x v="269"/>
    <s v="CUST302"/>
    <s v="Ravi Kumar"/>
    <x v="2"/>
    <x v="5"/>
    <s v="Tamil Nadu"/>
    <x v="1"/>
    <x v="1"/>
    <x v="4"/>
    <n v="14085.35"/>
    <n v="5"/>
    <n v="0"/>
    <n v="1408.54"/>
  </r>
  <r>
    <s v="ORD2203"/>
    <x v="269"/>
    <s v="CUST373"/>
    <s v="Ravi Kumar"/>
    <x v="1"/>
    <x v="2"/>
    <s v="Delhi"/>
    <x v="2"/>
    <x v="0"/>
    <x v="2"/>
    <n v="37713.120000000003"/>
    <n v="3"/>
    <n v="0.16"/>
    <n v="754.26"/>
  </r>
  <r>
    <s v="ORD2230"/>
    <x v="269"/>
    <s v="CUST482"/>
    <s v="Amit Sharma"/>
    <x v="2"/>
    <x v="3"/>
    <s v="Telangana"/>
    <x v="2"/>
    <x v="0"/>
    <x v="2"/>
    <n v="40440.61"/>
    <n v="6"/>
    <n v="0.27"/>
    <n v="-1415.42"/>
  </r>
  <r>
    <s v="ORD1604"/>
    <x v="270"/>
    <s v="CUST706"/>
    <s v="Neha Singh"/>
    <x v="1"/>
    <x v="2"/>
    <s v="Delhi"/>
    <x v="2"/>
    <x v="2"/>
    <x v="2"/>
    <n v="14418.5"/>
    <n v="10"/>
    <n v="0.2"/>
    <n v="0"/>
  </r>
  <r>
    <s v="ORD2095"/>
    <x v="270"/>
    <s v="CUST407"/>
    <s v="Amit Sharma"/>
    <x v="2"/>
    <x v="4"/>
    <s v="Karnataka"/>
    <x v="3"/>
    <x v="0"/>
    <x v="1"/>
    <n v="21187.73"/>
    <n v="7"/>
    <n v="7.0000000000000007E-2"/>
    <n v="1377.2"/>
  </r>
  <r>
    <s v="ORD2336"/>
    <x v="270"/>
    <s v="CUST821"/>
    <s v="Ravi Kumar"/>
    <x v="1"/>
    <x v="0"/>
    <s v="Maharashtra"/>
    <x v="0"/>
    <x v="0"/>
    <x v="1"/>
    <n v="31427.05"/>
    <n v="8"/>
    <n v="0.23"/>
    <n v="-471.41"/>
  </r>
  <r>
    <s v="ORD2482"/>
    <x v="270"/>
    <s v="CUST732"/>
    <s v="Neha Singh"/>
    <x v="2"/>
    <x v="5"/>
    <s v="Tamil Nadu"/>
    <x v="1"/>
    <x v="2"/>
    <x v="6"/>
    <n v="42372.27"/>
    <n v="10"/>
    <n v="0.16"/>
    <n v="847.45"/>
  </r>
  <r>
    <s v="ORD1736"/>
    <x v="271"/>
    <s v="CUST358"/>
    <s v="Ankit Roy"/>
    <x v="2"/>
    <x v="5"/>
    <s v="Tamil Nadu"/>
    <x v="1"/>
    <x v="0"/>
    <x v="6"/>
    <n v="16565.3"/>
    <n v="5"/>
    <n v="0.26"/>
    <n v="-496.96"/>
  </r>
  <r>
    <s v="ORD2299"/>
    <x v="271"/>
    <s v="CUST552"/>
    <s v="Sneha Paul"/>
    <x v="1"/>
    <x v="2"/>
    <s v="Delhi"/>
    <x v="2"/>
    <x v="1"/>
    <x v="6"/>
    <n v="6216.93"/>
    <n v="8"/>
    <n v="0.25"/>
    <n v="-155.41999999999999"/>
  </r>
  <r>
    <s v="ORD1060"/>
    <x v="272"/>
    <s v="CUST771"/>
    <s v="Amit Sharma"/>
    <x v="2"/>
    <x v="3"/>
    <s v="Telangana"/>
    <x v="2"/>
    <x v="0"/>
    <x v="4"/>
    <n v="48631.12"/>
    <n v="5"/>
    <n v="0.19"/>
    <n v="243.16"/>
  </r>
  <r>
    <s v="ORD1070"/>
    <x v="272"/>
    <s v="CUST644"/>
    <s v="Ankit Roy"/>
    <x v="1"/>
    <x v="2"/>
    <s v="Delhi"/>
    <x v="2"/>
    <x v="1"/>
    <x v="6"/>
    <n v="31338.080000000002"/>
    <n v="9"/>
    <n v="0.18"/>
    <n v="313.38"/>
  </r>
  <r>
    <s v="ORD2108"/>
    <x v="272"/>
    <s v="CUST676"/>
    <s v="Neha Singh"/>
    <x v="1"/>
    <x v="1"/>
    <s v="West Bengal"/>
    <x v="1"/>
    <x v="1"/>
    <x v="0"/>
    <n v="27550.1"/>
    <n v="7"/>
    <n v="0.3"/>
    <n v="-1377.5"/>
  </r>
  <r>
    <s v="ORD1446"/>
    <x v="273"/>
    <s v="CUST935"/>
    <s v="Amit Sharma"/>
    <x v="1"/>
    <x v="4"/>
    <s v="Karnataka"/>
    <x v="3"/>
    <x v="1"/>
    <x v="6"/>
    <n v="22207.71"/>
    <n v="10"/>
    <n v="0.22"/>
    <n v="-222.08"/>
  </r>
  <r>
    <s v="ORD1491"/>
    <x v="273"/>
    <s v="CUST644"/>
    <s v="Ankit Roy"/>
    <x v="0"/>
    <x v="2"/>
    <s v="Delhi"/>
    <x v="2"/>
    <x v="1"/>
    <x v="4"/>
    <n v="2609.88"/>
    <n v="6"/>
    <n v="0.03"/>
    <n v="221.84"/>
  </r>
  <r>
    <s v="ORD1874"/>
    <x v="273"/>
    <s v="CUST890"/>
    <s v="Sneha Paul"/>
    <x v="1"/>
    <x v="4"/>
    <s v="Karnataka"/>
    <x v="3"/>
    <x v="2"/>
    <x v="1"/>
    <n v="18626.98"/>
    <n v="7"/>
    <n v="0.11"/>
    <n v="838.21"/>
  </r>
  <r>
    <s v="ORD2070"/>
    <x v="273"/>
    <s v="CUST708"/>
    <s v="Ankit Roy"/>
    <x v="1"/>
    <x v="4"/>
    <s v="Karnataka"/>
    <x v="3"/>
    <x v="1"/>
    <x v="0"/>
    <n v="40800.21"/>
    <n v="4"/>
    <n v="0.28999999999999998"/>
    <n v="-1836.01"/>
  </r>
  <r>
    <s v="ORD1185"/>
    <x v="274"/>
    <s v="CUST186"/>
    <s v="Sneha Paul"/>
    <x v="0"/>
    <x v="3"/>
    <s v="Telangana"/>
    <x v="2"/>
    <x v="1"/>
    <x v="2"/>
    <n v="35619.24"/>
    <n v="9"/>
    <n v="0.26"/>
    <n v="-1068.58"/>
  </r>
  <r>
    <s v="ORD1397"/>
    <x v="274"/>
    <s v="CUST156"/>
    <s v="Neha Singh"/>
    <x v="0"/>
    <x v="1"/>
    <s v="West Bengal"/>
    <x v="1"/>
    <x v="1"/>
    <x v="0"/>
    <n v="19735.900000000001"/>
    <n v="8"/>
    <n v="0.23"/>
    <n v="-296.04000000000002"/>
  </r>
  <r>
    <s v="ORD1519"/>
    <x v="274"/>
    <s v="CUST215"/>
    <s v="Pooja Verma"/>
    <x v="1"/>
    <x v="0"/>
    <s v="Maharashtra"/>
    <x v="0"/>
    <x v="1"/>
    <x v="5"/>
    <n v="35769.629999999997"/>
    <n v="5"/>
    <n v="0.03"/>
    <n v="3040.42"/>
  </r>
  <r>
    <s v="ORD1560"/>
    <x v="274"/>
    <s v="CUST930"/>
    <s v="Pooja Verma"/>
    <x v="1"/>
    <x v="1"/>
    <s v="West Bengal"/>
    <x v="1"/>
    <x v="1"/>
    <x v="2"/>
    <n v="30999.35"/>
    <n v="2"/>
    <n v="0.28000000000000003"/>
    <n v="-1239.97"/>
  </r>
  <r>
    <s v="ORD2116"/>
    <x v="274"/>
    <s v="CUST644"/>
    <s v="Ravi Kumar"/>
    <x v="2"/>
    <x v="2"/>
    <s v="Delhi"/>
    <x v="2"/>
    <x v="2"/>
    <x v="1"/>
    <n v="27901.279999999999"/>
    <n v="4"/>
    <n v="0.28999999999999998"/>
    <n v="-1255.56"/>
  </r>
  <r>
    <s v="ORD1226"/>
    <x v="275"/>
    <s v="CUST365"/>
    <s v="Rahul Das"/>
    <x v="2"/>
    <x v="2"/>
    <s v="Delhi"/>
    <x v="2"/>
    <x v="0"/>
    <x v="6"/>
    <n v="40570.870000000003"/>
    <n v="7"/>
    <n v="0.01"/>
    <n v="3854.23"/>
  </r>
  <r>
    <s v="ORD1350"/>
    <x v="275"/>
    <s v="CUST952"/>
    <s v="Neha Singh"/>
    <x v="2"/>
    <x v="2"/>
    <s v="Delhi"/>
    <x v="2"/>
    <x v="2"/>
    <x v="4"/>
    <n v="7485"/>
    <n v="5"/>
    <n v="0.02"/>
    <n v="673.65"/>
  </r>
  <r>
    <s v="ORD1877"/>
    <x v="275"/>
    <s v="CUST492"/>
    <s v="Rahul Das"/>
    <x v="2"/>
    <x v="2"/>
    <s v="Delhi"/>
    <x v="2"/>
    <x v="1"/>
    <x v="4"/>
    <n v="23262.7"/>
    <n v="7"/>
    <n v="0.27"/>
    <n v="-814.19"/>
  </r>
  <r>
    <s v="ORD1923"/>
    <x v="275"/>
    <s v="CUST983"/>
    <s v="Neha Singh"/>
    <x v="2"/>
    <x v="3"/>
    <s v="Telangana"/>
    <x v="2"/>
    <x v="2"/>
    <x v="0"/>
    <n v="29593.87"/>
    <n v="2"/>
    <n v="0.24"/>
    <n v="-591.88"/>
  </r>
  <r>
    <s v="ORD1615"/>
    <x v="276"/>
    <s v="CUST384"/>
    <s v="Amit Sharma"/>
    <x v="0"/>
    <x v="5"/>
    <s v="Tamil Nadu"/>
    <x v="1"/>
    <x v="2"/>
    <x v="1"/>
    <n v="18740.740000000002"/>
    <n v="7"/>
    <n v="0.12"/>
    <n v="749.63"/>
  </r>
  <r>
    <s v="ORD2147"/>
    <x v="276"/>
    <s v="CUST422"/>
    <s v="Sneha Paul"/>
    <x v="0"/>
    <x v="0"/>
    <s v="Maharashtra"/>
    <x v="0"/>
    <x v="1"/>
    <x v="6"/>
    <n v="25058.43"/>
    <n v="8"/>
    <n v="0.09"/>
    <n v="1378.21"/>
  </r>
  <r>
    <s v="ORD2139"/>
    <x v="277"/>
    <s v="CUST332"/>
    <s v="Amit Sharma"/>
    <x v="0"/>
    <x v="2"/>
    <s v="Delhi"/>
    <x v="2"/>
    <x v="1"/>
    <x v="4"/>
    <n v="27595.49"/>
    <n v="6"/>
    <n v="0.11"/>
    <n v="1241.8"/>
  </r>
  <r>
    <s v="ORD2142"/>
    <x v="277"/>
    <s v="CUST618"/>
    <s v="Pooja Verma"/>
    <x v="0"/>
    <x v="5"/>
    <s v="Tamil Nadu"/>
    <x v="1"/>
    <x v="1"/>
    <x v="6"/>
    <n v="17958.599999999999"/>
    <n v="2"/>
    <n v="0.25"/>
    <n v="-448.96"/>
  </r>
  <r>
    <s v="ORD2239"/>
    <x v="277"/>
    <s v="CUST630"/>
    <s v="Ravi Kumar"/>
    <x v="2"/>
    <x v="1"/>
    <s v="West Bengal"/>
    <x v="1"/>
    <x v="0"/>
    <x v="0"/>
    <n v="25244.53"/>
    <n v="2"/>
    <n v="0.13"/>
    <n v="883.56"/>
  </r>
  <r>
    <s v="ORD1961"/>
    <x v="278"/>
    <s v="CUST382"/>
    <s v="Sneha Paul"/>
    <x v="0"/>
    <x v="4"/>
    <s v="Karnataka"/>
    <x v="3"/>
    <x v="0"/>
    <x v="1"/>
    <n v="39348.71"/>
    <n v="6"/>
    <n v="0.05"/>
    <n v="2951.15"/>
  </r>
  <r>
    <s v="ORD1218"/>
    <x v="279"/>
    <s v="CUST785"/>
    <s v="Ankit Roy"/>
    <x v="0"/>
    <x v="1"/>
    <s v="West Bengal"/>
    <x v="1"/>
    <x v="0"/>
    <x v="5"/>
    <n v="4535.82"/>
    <n v="2"/>
    <n v="0.24"/>
    <n v="-90.72"/>
  </r>
  <r>
    <s v="ORD1236"/>
    <x v="279"/>
    <s v="CUST798"/>
    <s v="Pooja Verma"/>
    <x v="0"/>
    <x v="5"/>
    <s v="Tamil Nadu"/>
    <x v="1"/>
    <x v="1"/>
    <x v="4"/>
    <n v="29920.83"/>
    <n v="7"/>
    <n v="0.17"/>
    <n v="448.81"/>
  </r>
  <r>
    <s v="ORD2331"/>
    <x v="279"/>
    <s v="CUST396"/>
    <s v="Ankit Roy"/>
    <x v="2"/>
    <x v="0"/>
    <s v="Maharashtra"/>
    <x v="0"/>
    <x v="2"/>
    <x v="0"/>
    <n v="25325.14"/>
    <n v="6"/>
    <n v="0.06"/>
    <n v="1772.76"/>
  </r>
  <r>
    <s v="ORD2337"/>
    <x v="279"/>
    <s v="CUST862"/>
    <s v="Amit Sharma"/>
    <x v="1"/>
    <x v="2"/>
    <s v="Delhi"/>
    <x v="2"/>
    <x v="0"/>
    <x v="6"/>
    <n v="20751.400000000001"/>
    <n v="1"/>
    <n v="0.12"/>
    <n v="830.06"/>
  </r>
  <r>
    <s v="ORD1588"/>
    <x v="280"/>
    <s v="CUST107"/>
    <s v="Ankit Roy"/>
    <x v="2"/>
    <x v="0"/>
    <s v="Maharashtra"/>
    <x v="0"/>
    <x v="2"/>
    <x v="6"/>
    <n v="832.89"/>
    <n v="1"/>
    <n v="0.27"/>
    <n v="-29.15"/>
  </r>
  <r>
    <s v="ORD1646"/>
    <x v="280"/>
    <s v="CUST353"/>
    <s v="Rahul Das"/>
    <x v="0"/>
    <x v="4"/>
    <s v="Karnataka"/>
    <x v="3"/>
    <x v="1"/>
    <x v="0"/>
    <n v="32479.83"/>
    <n v="7"/>
    <n v="0.18"/>
    <n v="324.8"/>
  </r>
  <r>
    <s v="ORD2214"/>
    <x v="280"/>
    <s v="CUST553"/>
    <s v="Rahul Das"/>
    <x v="1"/>
    <x v="4"/>
    <s v="Karnataka"/>
    <x v="3"/>
    <x v="0"/>
    <x v="6"/>
    <n v="25328.84"/>
    <n v="7"/>
    <n v="0.28999999999999998"/>
    <n v="-1139.8"/>
  </r>
  <r>
    <s v="ORD1017"/>
    <x v="281"/>
    <s v="CUST473"/>
    <s v="Neha Singh"/>
    <x v="1"/>
    <x v="2"/>
    <s v="Delhi"/>
    <x v="2"/>
    <x v="1"/>
    <x v="5"/>
    <n v="35896.43"/>
    <n v="4"/>
    <n v="0.2"/>
    <n v="0"/>
  </r>
  <r>
    <s v="ORD1099"/>
    <x v="282"/>
    <s v="CUST103"/>
    <s v="Neha Singh"/>
    <x v="1"/>
    <x v="2"/>
    <s v="Delhi"/>
    <x v="2"/>
    <x v="0"/>
    <x v="5"/>
    <n v="9981.2800000000007"/>
    <n v="3"/>
    <n v="0.12"/>
    <n v="399.25"/>
  </r>
  <r>
    <s v="ORD1577"/>
    <x v="282"/>
    <s v="CUST498"/>
    <s v="Ravi Kumar"/>
    <x v="0"/>
    <x v="0"/>
    <s v="Maharashtra"/>
    <x v="0"/>
    <x v="2"/>
    <x v="5"/>
    <n v="22680.9"/>
    <n v="4"/>
    <n v="0.1"/>
    <n v="1134.05"/>
  </r>
  <r>
    <s v="ORD1802"/>
    <x v="282"/>
    <s v="CUST658"/>
    <s v="Ravi Kumar"/>
    <x v="2"/>
    <x v="1"/>
    <s v="West Bengal"/>
    <x v="1"/>
    <x v="1"/>
    <x v="6"/>
    <n v="48101.48"/>
    <n v="7"/>
    <n v="0.15"/>
    <n v="1202.54"/>
  </r>
  <r>
    <s v="ORD1867"/>
    <x v="282"/>
    <s v="CUST674"/>
    <s v="Neha Singh"/>
    <x v="2"/>
    <x v="4"/>
    <s v="Karnataka"/>
    <x v="3"/>
    <x v="0"/>
    <x v="5"/>
    <n v="42792.42"/>
    <n v="4"/>
    <n v="0.19"/>
    <n v="213.96"/>
  </r>
  <r>
    <s v="ORD1293"/>
    <x v="283"/>
    <s v="CUST826"/>
    <s v="Rahul Das"/>
    <x v="0"/>
    <x v="1"/>
    <s v="West Bengal"/>
    <x v="1"/>
    <x v="0"/>
    <x v="1"/>
    <n v="42409.14"/>
    <n v="4"/>
    <n v="0.05"/>
    <n v="3180.69"/>
  </r>
  <r>
    <s v="ORD1839"/>
    <x v="283"/>
    <s v="CUST691"/>
    <s v="Pooja Verma"/>
    <x v="1"/>
    <x v="3"/>
    <s v="Telangana"/>
    <x v="2"/>
    <x v="2"/>
    <x v="5"/>
    <n v="43393.2"/>
    <n v="10"/>
    <n v="0.12"/>
    <n v="1735.73"/>
  </r>
  <r>
    <s v="ORD1725"/>
    <x v="284"/>
    <s v="CUST420"/>
    <s v="Amit Sharma"/>
    <x v="0"/>
    <x v="4"/>
    <s v="Karnataka"/>
    <x v="3"/>
    <x v="1"/>
    <x v="3"/>
    <n v="46894.27"/>
    <n v="2"/>
    <n v="0.14000000000000001"/>
    <n v="1406.83"/>
  </r>
  <r>
    <s v="ORD2026"/>
    <x v="284"/>
    <s v="CUST232"/>
    <s v="Sneha Paul"/>
    <x v="0"/>
    <x v="3"/>
    <s v="Telangana"/>
    <x v="2"/>
    <x v="1"/>
    <x v="0"/>
    <n v="31388.33"/>
    <n v="6"/>
    <n v="0.28000000000000003"/>
    <n v="-1255.53"/>
  </r>
  <r>
    <s v="ORD2424"/>
    <x v="284"/>
    <s v="CUST194"/>
    <s v="Ravi Kumar"/>
    <x v="0"/>
    <x v="5"/>
    <s v="Tamil Nadu"/>
    <x v="1"/>
    <x v="1"/>
    <x v="1"/>
    <n v="35505.949999999997"/>
    <n v="5"/>
    <n v="0.04"/>
    <n v="2840.48"/>
  </r>
  <r>
    <s v="ORD1265"/>
    <x v="285"/>
    <s v="CUST104"/>
    <s v="Pooja Verma"/>
    <x v="2"/>
    <x v="0"/>
    <s v="Maharashtra"/>
    <x v="0"/>
    <x v="2"/>
    <x v="6"/>
    <n v="25607.82"/>
    <n v="7"/>
    <n v="0.22"/>
    <n v="-256.08"/>
  </r>
  <r>
    <s v="ORD1253"/>
    <x v="286"/>
    <s v="CUST769"/>
    <s v="Sneha Paul"/>
    <x v="2"/>
    <x v="2"/>
    <s v="Delhi"/>
    <x v="2"/>
    <x v="0"/>
    <x v="6"/>
    <n v="27897.26"/>
    <n v="8"/>
    <n v="0.02"/>
    <n v="2510.75"/>
  </r>
  <r>
    <s v="ORD1631"/>
    <x v="286"/>
    <s v="CUST358"/>
    <s v="Sneha Paul"/>
    <x v="2"/>
    <x v="3"/>
    <s v="Telangana"/>
    <x v="2"/>
    <x v="2"/>
    <x v="5"/>
    <n v="10830.86"/>
    <n v="3"/>
    <n v="0.13"/>
    <n v="379.08"/>
  </r>
  <r>
    <s v="ORD2229"/>
    <x v="286"/>
    <s v="CUST876"/>
    <s v="Neha Singh"/>
    <x v="2"/>
    <x v="0"/>
    <s v="Maharashtra"/>
    <x v="0"/>
    <x v="2"/>
    <x v="3"/>
    <n v="31906.49"/>
    <n v="1"/>
    <n v="0.03"/>
    <n v="2712.05"/>
  </r>
  <r>
    <s v="ORD1425"/>
    <x v="287"/>
    <s v="CUST815"/>
    <s v="Ravi Kumar"/>
    <x v="2"/>
    <x v="5"/>
    <s v="Tamil Nadu"/>
    <x v="1"/>
    <x v="0"/>
    <x v="3"/>
    <n v="26117.35"/>
    <n v="6"/>
    <n v="0.25"/>
    <n v="-652.92999999999995"/>
  </r>
  <r>
    <s v="ORD2381"/>
    <x v="287"/>
    <s v="CUST468"/>
    <s v="Neha Singh"/>
    <x v="0"/>
    <x v="3"/>
    <s v="Telangana"/>
    <x v="2"/>
    <x v="1"/>
    <x v="6"/>
    <n v="36897.47"/>
    <n v="7"/>
    <n v="0.06"/>
    <n v="2582.8200000000002"/>
  </r>
  <r>
    <s v="ORD1075"/>
    <x v="288"/>
    <s v="CUST563"/>
    <s v="Rahul Das"/>
    <x v="2"/>
    <x v="1"/>
    <s v="West Bengal"/>
    <x v="1"/>
    <x v="2"/>
    <x v="3"/>
    <n v="40085.040000000001"/>
    <n v="1"/>
    <n v="0.28999999999999998"/>
    <n v="-1803.83"/>
  </r>
  <r>
    <s v="ORD1200"/>
    <x v="288"/>
    <s v="CUST781"/>
    <s v="Pooja Verma"/>
    <x v="2"/>
    <x v="0"/>
    <s v="Maharashtra"/>
    <x v="0"/>
    <x v="0"/>
    <x v="0"/>
    <n v="29644.080000000002"/>
    <n v="3"/>
    <n v="0.28999999999999998"/>
    <n v="-1333.98"/>
  </r>
  <r>
    <s v="ORD1346"/>
    <x v="288"/>
    <s v="CUST333"/>
    <s v="Sneha Paul"/>
    <x v="0"/>
    <x v="3"/>
    <s v="Telangana"/>
    <x v="2"/>
    <x v="0"/>
    <x v="4"/>
    <n v="34213.980000000003"/>
    <n v="3"/>
    <n v="0.21"/>
    <n v="-171.07"/>
  </r>
  <r>
    <s v="ORD1905"/>
    <x v="288"/>
    <s v="CUST554"/>
    <s v="Ravi Kumar"/>
    <x v="1"/>
    <x v="0"/>
    <s v="Maharashtra"/>
    <x v="0"/>
    <x v="2"/>
    <x v="5"/>
    <n v="41045.949999999997"/>
    <n v="7"/>
    <n v="0.09"/>
    <n v="2257.5300000000002"/>
  </r>
  <r>
    <s v="ORD2207"/>
    <x v="288"/>
    <s v="CUST770"/>
    <s v="Neha Singh"/>
    <x v="0"/>
    <x v="2"/>
    <s v="Delhi"/>
    <x v="2"/>
    <x v="1"/>
    <x v="4"/>
    <n v="25477.79"/>
    <n v="6"/>
    <n v="0.23"/>
    <n v="-382.17"/>
  </r>
  <r>
    <s v="ORD2333"/>
    <x v="288"/>
    <s v="CUST326"/>
    <s v="Rahul Das"/>
    <x v="1"/>
    <x v="4"/>
    <s v="Karnataka"/>
    <x v="3"/>
    <x v="0"/>
    <x v="3"/>
    <n v="34216.18"/>
    <n v="9"/>
    <n v="0.01"/>
    <n v="3250.54"/>
  </r>
  <r>
    <s v="ORD2343"/>
    <x v="288"/>
    <s v="CUST963"/>
    <s v="Neha Singh"/>
    <x v="0"/>
    <x v="1"/>
    <s v="West Bengal"/>
    <x v="1"/>
    <x v="2"/>
    <x v="0"/>
    <n v="9094.2000000000007"/>
    <n v="9"/>
    <n v="0.24"/>
    <n v="-181.88"/>
  </r>
  <r>
    <s v="ORD1360"/>
    <x v="289"/>
    <s v="CUST384"/>
    <s v="Ankit Roy"/>
    <x v="0"/>
    <x v="4"/>
    <s v="Karnataka"/>
    <x v="3"/>
    <x v="2"/>
    <x v="3"/>
    <n v="28115.56"/>
    <n v="9"/>
    <n v="0.17"/>
    <n v="421.73"/>
  </r>
  <r>
    <s v="ORD1700"/>
    <x v="289"/>
    <s v="CUST299"/>
    <s v="Ankit Roy"/>
    <x v="2"/>
    <x v="1"/>
    <s v="West Bengal"/>
    <x v="1"/>
    <x v="0"/>
    <x v="5"/>
    <n v="24674.12"/>
    <n v="7"/>
    <n v="0.17"/>
    <n v="370.11"/>
  </r>
  <r>
    <s v="ORD1956"/>
    <x v="289"/>
    <s v="CUST249"/>
    <s v="Neha Singh"/>
    <x v="2"/>
    <x v="1"/>
    <s v="West Bengal"/>
    <x v="1"/>
    <x v="2"/>
    <x v="4"/>
    <n v="46451.57"/>
    <n v="8"/>
    <n v="0.18"/>
    <n v="464.52"/>
  </r>
  <r>
    <s v="ORD2483"/>
    <x v="290"/>
    <s v="CUST963"/>
    <s v="Pooja Verma"/>
    <x v="1"/>
    <x v="5"/>
    <s v="Tamil Nadu"/>
    <x v="1"/>
    <x v="2"/>
    <x v="5"/>
    <n v="8804.2800000000007"/>
    <n v="7"/>
    <n v="0.02"/>
    <n v="792.39"/>
  </r>
  <r>
    <s v="ORD1323"/>
    <x v="291"/>
    <s v="CUST850"/>
    <s v="Neha Singh"/>
    <x v="2"/>
    <x v="1"/>
    <s v="West Bengal"/>
    <x v="1"/>
    <x v="0"/>
    <x v="2"/>
    <n v="4437.24"/>
    <n v="1"/>
    <n v="0.13"/>
    <n v="155.30000000000001"/>
  </r>
  <r>
    <s v="ORD1361"/>
    <x v="291"/>
    <s v="CUST125"/>
    <s v="Neha Singh"/>
    <x v="1"/>
    <x v="2"/>
    <s v="Delhi"/>
    <x v="2"/>
    <x v="1"/>
    <x v="4"/>
    <n v="17381.919999999998"/>
    <n v="6"/>
    <n v="0.01"/>
    <n v="1651.28"/>
  </r>
  <r>
    <s v="ORD2498"/>
    <x v="291"/>
    <s v="CUST126"/>
    <s v="Ravi Kumar"/>
    <x v="0"/>
    <x v="5"/>
    <s v="Tamil Nadu"/>
    <x v="1"/>
    <x v="0"/>
    <x v="6"/>
    <n v="23186.21"/>
    <n v="4"/>
    <n v="0.21"/>
    <n v="-115.93"/>
  </r>
  <r>
    <s v="ORD1073"/>
    <x v="292"/>
    <s v="CUST521"/>
    <s v="Pooja Verma"/>
    <x v="1"/>
    <x v="0"/>
    <s v="Maharashtra"/>
    <x v="0"/>
    <x v="1"/>
    <x v="1"/>
    <n v="23841.9"/>
    <n v="5"/>
    <n v="0.13"/>
    <n v="834.47"/>
  </r>
  <r>
    <s v="ORD1904"/>
    <x v="292"/>
    <s v="CUST984"/>
    <s v="Ankit Roy"/>
    <x v="2"/>
    <x v="0"/>
    <s v="Maharashtra"/>
    <x v="0"/>
    <x v="0"/>
    <x v="4"/>
    <n v="23584.240000000002"/>
    <n v="3"/>
    <n v="0.28000000000000003"/>
    <n v="-943.37"/>
  </r>
  <r>
    <s v="ORD1083"/>
    <x v="293"/>
    <s v="CUST274"/>
    <s v="Ankit Roy"/>
    <x v="1"/>
    <x v="2"/>
    <s v="Delhi"/>
    <x v="2"/>
    <x v="1"/>
    <x v="3"/>
    <n v="43159.99"/>
    <n v="4"/>
    <n v="0.14000000000000001"/>
    <n v="1294.8"/>
  </r>
  <r>
    <s v="ORD1150"/>
    <x v="293"/>
    <s v="CUST761"/>
    <s v="Amit Sharma"/>
    <x v="0"/>
    <x v="5"/>
    <s v="Tamil Nadu"/>
    <x v="1"/>
    <x v="0"/>
    <x v="1"/>
    <n v="23495.91"/>
    <n v="8"/>
    <n v="0.15"/>
    <n v="587.4"/>
  </r>
  <r>
    <s v="ORD1239"/>
    <x v="293"/>
    <s v="CUST210"/>
    <s v="Ravi Kumar"/>
    <x v="0"/>
    <x v="0"/>
    <s v="Maharashtra"/>
    <x v="0"/>
    <x v="0"/>
    <x v="5"/>
    <n v="14874.68"/>
    <n v="4"/>
    <n v="0.13"/>
    <n v="520.61"/>
  </r>
  <r>
    <s v="ORD1531"/>
    <x v="293"/>
    <s v="CUST521"/>
    <s v="Rahul Das"/>
    <x v="0"/>
    <x v="2"/>
    <s v="Delhi"/>
    <x v="2"/>
    <x v="1"/>
    <x v="2"/>
    <n v="4584.04"/>
    <n v="8"/>
    <n v="0.19"/>
    <n v="22.92"/>
  </r>
  <r>
    <s v="ORD2015"/>
    <x v="293"/>
    <s v="CUST626"/>
    <s v="Ravi Kumar"/>
    <x v="0"/>
    <x v="4"/>
    <s v="Karnataka"/>
    <x v="3"/>
    <x v="2"/>
    <x v="5"/>
    <n v="12314.89"/>
    <n v="6"/>
    <n v="0.28000000000000003"/>
    <n v="-492.6"/>
  </r>
  <r>
    <s v="ORD2458"/>
    <x v="293"/>
    <s v="CUST875"/>
    <s v="Amit Sharma"/>
    <x v="0"/>
    <x v="3"/>
    <s v="Telangana"/>
    <x v="2"/>
    <x v="2"/>
    <x v="3"/>
    <n v="19747.55"/>
    <n v="5"/>
    <n v="0.05"/>
    <n v="1481.07"/>
  </r>
  <r>
    <s v="ORD1131"/>
    <x v="294"/>
    <s v="CUST596"/>
    <s v="Pooja Verma"/>
    <x v="2"/>
    <x v="2"/>
    <s v="Delhi"/>
    <x v="2"/>
    <x v="2"/>
    <x v="4"/>
    <n v="33471.15"/>
    <n v="4"/>
    <n v="0.17"/>
    <n v="502.07"/>
  </r>
  <r>
    <s v="ORD1147"/>
    <x v="294"/>
    <s v="CUST836"/>
    <s v="Rahul Das"/>
    <x v="2"/>
    <x v="2"/>
    <s v="Delhi"/>
    <x v="2"/>
    <x v="2"/>
    <x v="0"/>
    <n v="8802.86"/>
    <n v="5"/>
    <n v="0.19"/>
    <n v="44.01"/>
  </r>
  <r>
    <s v="ORD1255"/>
    <x v="294"/>
    <s v="CUST485"/>
    <s v="Amit Sharma"/>
    <x v="2"/>
    <x v="5"/>
    <s v="Tamil Nadu"/>
    <x v="1"/>
    <x v="0"/>
    <x v="1"/>
    <n v="16994.47"/>
    <n v="10"/>
    <n v="0.08"/>
    <n v="1019.67"/>
  </r>
  <r>
    <s v="ORD1365"/>
    <x v="294"/>
    <s v="CUST309"/>
    <s v="Neha Singh"/>
    <x v="0"/>
    <x v="5"/>
    <s v="Tamil Nadu"/>
    <x v="1"/>
    <x v="1"/>
    <x v="0"/>
    <n v="23504.82"/>
    <n v="1"/>
    <n v="7.0000000000000007E-2"/>
    <n v="1527.81"/>
  </r>
  <r>
    <s v="ORD2388"/>
    <x v="294"/>
    <s v="CUST349"/>
    <s v="Ankit Roy"/>
    <x v="2"/>
    <x v="2"/>
    <s v="Delhi"/>
    <x v="2"/>
    <x v="1"/>
    <x v="3"/>
    <n v="3576.06"/>
    <n v="9"/>
    <n v="0.21"/>
    <n v="-17.88"/>
  </r>
  <r>
    <s v="ORD1143"/>
    <x v="295"/>
    <s v="CUST185"/>
    <s v="Rahul Das"/>
    <x v="1"/>
    <x v="0"/>
    <s v="Maharashtra"/>
    <x v="0"/>
    <x v="0"/>
    <x v="1"/>
    <n v="48397.01"/>
    <n v="5"/>
    <n v="0.03"/>
    <n v="4113.75"/>
  </r>
  <r>
    <s v="ORD1706"/>
    <x v="295"/>
    <s v="CUST762"/>
    <s v="Amit Sharma"/>
    <x v="2"/>
    <x v="0"/>
    <s v="Maharashtra"/>
    <x v="0"/>
    <x v="1"/>
    <x v="6"/>
    <n v="38884.93"/>
    <n v="7"/>
    <n v="0.11"/>
    <n v="1749.82"/>
  </r>
  <r>
    <s v="ORD2082"/>
    <x v="295"/>
    <s v="CUST878"/>
    <s v="Ravi Kumar"/>
    <x v="1"/>
    <x v="3"/>
    <s v="Telangana"/>
    <x v="2"/>
    <x v="2"/>
    <x v="4"/>
    <n v="4374.62"/>
    <n v="6"/>
    <n v="0.16"/>
    <n v="87.49"/>
  </r>
  <r>
    <s v="ORD1978"/>
    <x v="296"/>
    <s v="CUST638"/>
    <s v="Sneha Paul"/>
    <x v="1"/>
    <x v="4"/>
    <s v="Karnataka"/>
    <x v="3"/>
    <x v="1"/>
    <x v="6"/>
    <n v="8740.5300000000007"/>
    <n v="6"/>
    <n v="0.02"/>
    <n v="786.65"/>
  </r>
  <r>
    <s v="ORD2013"/>
    <x v="296"/>
    <s v="CUST553"/>
    <s v="Sneha Paul"/>
    <x v="0"/>
    <x v="4"/>
    <s v="Karnataka"/>
    <x v="3"/>
    <x v="2"/>
    <x v="1"/>
    <n v="7122.34"/>
    <n v="6"/>
    <n v="0.04"/>
    <n v="569.79"/>
  </r>
  <r>
    <s v="ORD2363"/>
    <x v="296"/>
    <s v="CUST660"/>
    <s v="Ankit Roy"/>
    <x v="0"/>
    <x v="1"/>
    <s v="West Bengal"/>
    <x v="1"/>
    <x v="1"/>
    <x v="6"/>
    <n v="21633.67"/>
    <n v="5"/>
    <n v="0.2"/>
    <n v="0"/>
  </r>
  <r>
    <s v="ORD2477"/>
    <x v="296"/>
    <s v="CUST652"/>
    <s v="Amit Sharma"/>
    <x v="1"/>
    <x v="3"/>
    <s v="Telangana"/>
    <x v="2"/>
    <x v="0"/>
    <x v="1"/>
    <n v="714.34"/>
    <n v="1"/>
    <n v="0.22"/>
    <n v="-7.14"/>
  </r>
  <r>
    <s v="ORD2158"/>
    <x v="297"/>
    <s v="CUST614"/>
    <s v="Ankit Roy"/>
    <x v="2"/>
    <x v="4"/>
    <s v="Karnataka"/>
    <x v="3"/>
    <x v="0"/>
    <x v="3"/>
    <n v="16120.46"/>
    <n v="10"/>
    <n v="0.21"/>
    <n v="-80.599999999999994"/>
  </r>
  <r>
    <s v="ORD1967"/>
    <x v="298"/>
    <s v="CUST181"/>
    <s v="Rahul Das"/>
    <x v="0"/>
    <x v="0"/>
    <s v="Maharashtra"/>
    <x v="0"/>
    <x v="0"/>
    <x v="6"/>
    <n v="8776.74"/>
    <n v="9"/>
    <n v="0.24"/>
    <n v="-175.53"/>
  </r>
  <r>
    <s v="ORD1972"/>
    <x v="298"/>
    <s v="CUST226"/>
    <s v="Sneha Paul"/>
    <x v="0"/>
    <x v="1"/>
    <s v="West Bengal"/>
    <x v="1"/>
    <x v="0"/>
    <x v="1"/>
    <n v="49391.82"/>
    <n v="8"/>
    <n v="0.02"/>
    <n v="4445.26"/>
  </r>
  <r>
    <s v="ORD2185"/>
    <x v="298"/>
    <s v="CUST346"/>
    <s v="Ravi Kumar"/>
    <x v="2"/>
    <x v="3"/>
    <s v="Telangana"/>
    <x v="2"/>
    <x v="1"/>
    <x v="5"/>
    <n v="48277.93"/>
    <n v="7"/>
    <n v="0.22"/>
    <n v="-482.78"/>
  </r>
  <r>
    <s v="ORD1252"/>
    <x v="299"/>
    <s v="CUST763"/>
    <s v="Amit Sharma"/>
    <x v="0"/>
    <x v="4"/>
    <s v="Karnataka"/>
    <x v="3"/>
    <x v="1"/>
    <x v="6"/>
    <n v="21891.49"/>
    <n v="9"/>
    <n v="0.08"/>
    <n v="1313.49"/>
  </r>
  <r>
    <s v="ORD2366"/>
    <x v="300"/>
    <s v="CUST930"/>
    <s v="Ravi Kumar"/>
    <x v="2"/>
    <x v="2"/>
    <s v="Delhi"/>
    <x v="2"/>
    <x v="2"/>
    <x v="3"/>
    <n v="46846.18"/>
    <n v="7"/>
    <n v="0.16"/>
    <n v="936.92"/>
  </r>
  <r>
    <s v="ORD1336"/>
    <x v="301"/>
    <s v="CUST435"/>
    <s v="Amit Sharma"/>
    <x v="2"/>
    <x v="3"/>
    <s v="Telangana"/>
    <x v="2"/>
    <x v="2"/>
    <x v="2"/>
    <n v="2313.38"/>
    <n v="10"/>
    <n v="0.19"/>
    <n v="11.57"/>
  </r>
  <r>
    <s v="ORD2159"/>
    <x v="301"/>
    <s v="CUST634"/>
    <s v="Ankit Roy"/>
    <x v="2"/>
    <x v="3"/>
    <s v="Telangana"/>
    <x v="2"/>
    <x v="1"/>
    <x v="0"/>
    <n v="30734.639999999999"/>
    <n v="4"/>
    <n v="0.04"/>
    <n v="2458.77"/>
  </r>
  <r>
    <s v="ORD1726"/>
    <x v="302"/>
    <s v="CUST489"/>
    <s v="Ravi Kumar"/>
    <x v="1"/>
    <x v="2"/>
    <s v="Delhi"/>
    <x v="2"/>
    <x v="0"/>
    <x v="2"/>
    <n v="1271.44"/>
    <n v="4"/>
    <n v="0.13"/>
    <n v="44.5"/>
  </r>
  <r>
    <s v="ORD1902"/>
    <x v="302"/>
    <s v="CUST151"/>
    <s v="Neha Singh"/>
    <x v="2"/>
    <x v="1"/>
    <s v="West Bengal"/>
    <x v="1"/>
    <x v="2"/>
    <x v="1"/>
    <n v="24771.8"/>
    <n v="7"/>
    <n v="0.01"/>
    <n v="2353.3200000000002"/>
  </r>
  <r>
    <s v="ORD1196"/>
    <x v="303"/>
    <s v="CUST701"/>
    <s v="Ankit Roy"/>
    <x v="2"/>
    <x v="0"/>
    <s v="Maharashtra"/>
    <x v="0"/>
    <x v="2"/>
    <x v="5"/>
    <n v="4294.07"/>
    <n v="5"/>
    <n v="0.01"/>
    <n v="407.94"/>
  </r>
  <r>
    <s v="ORD1879"/>
    <x v="303"/>
    <s v="CUST500"/>
    <s v="Amit Sharma"/>
    <x v="0"/>
    <x v="1"/>
    <s v="West Bengal"/>
    <x v="1"/>
    <x v="0"/>
    <x v="4"/>
    <n v="31754.94"/>
    <n v="3"/>
    <n v="0.16"/>
    <n v="635.1"/>
  </r>
  <r>
    <s v="ORD1957"/>
    <x v="303"/>
    <s v="CUST874"/>
    <s v="Pooja Verma"/>
    <x v="2"/>
    <x v="3"/>
    <s v="Telangana"/>
    <x v="2"/>
    <x v="1"/>
    <x v="6"/>
    <n v="31230.26"/>
    <n v="6"/>
    <n v="0.05"/>
    <n v="2342.27"/>
  </r>
  <r>
    <s v="ORD2071"/>
    <x v="303"/>
    <s v="CUST417"/>
    <s v="Rahul Das"/>
    <x v="1"/>
    <x v="1"/>
    <s v="West Bengal"/>
    <x v="1"/>
    <x v="2"/>
    <x v="4"/>
    <n v="18435.990000000002"/>
    <n v="1"/>
    <n v="0.23"/>
    <n v="-276.54000000000002"/>
  </r>
  <r>
    <s v="ORD2283"/>
    <x v="303"/>
    <s v="CUST116"/>
    <s v="Amit Sharma"/>
    <x v="0"/>
    <x v="1"/>
    <s v="West Bengal"/>
    <x v="1"/>
    <x v="2"/>
    <x v="0"/>
    <n v="3251.59"/>
    <n v="2"/>
    <n v="0.15"/>
    <n v="81.290000000000006"/>
  </r>
  <r>
    <s v="ORD1521"/>
    <x v="304"/>
    <s v="CUST123"/>
    <s v="Sneha Paul"/>
    <x v="2"/>
    <x v="1"/>
    <s v="West Bengal"/>
    <x v="1"/>
    <x v="0"/>
    <x v="5"/>
    <n v="4384.6000000000004"/>
    <n v="2"/>
    <n v="0.2"/>
    <n v="0"/>
  </r>
  <r>
    <s v="ORD1269"/>
    <x v="305"/>
    <s v="CUST914"/>
    <s v="Ravi Kumar"/>
    <x v="2"/>
    <x v="4"/>
    <s v="Karnataka"/>
    <x v="3"/>
    <x v="1"/>
    <x v="3"/>
    <n v="24243.64"/>
    <n v="7"/>
    <n v="0.17"/>
    <n v="363.65"/>
  </r>
  <r>
    <s v="ORD1596"/>
    <x v="305"/>
    <s v="CUST388"/>
    <s v="Ankit Roy"/>
    <x v="0"/>
    <x v="4"/>
    <s v="Karnataka"/>
    <x v="3"/>
    <x v="0"/>
    <x v="4"/>
    <n v="22422.44"/>
    <n v="9"/>
    <n v="0.17"/>
    <n v="336.34"/>
  </r>
  <r>
    <s v="ORD1620"/>
    <x v="305"/>
    <s v="CUST174"/>
    <s v="Ravi Kumar"/>
    <x v="0"/>
    <x v="4"/>
    <s v="Karnataka"/>
    <x v="3"/>
    <x v="2"/>
    <x v="5"/>
    <n v="22126.11"/>
    <n v="3"/>
    <n v="0.09"/>
    <n v="1216.94"/>
  </r>
  <r>
    <s v="ORD1741"/>
    <x v="305"/>
    <s v="CUST954"/>
    <s v="Ankit Roy"/>
    <x v="1"/>
    <x v="1"/>
    <s v="West Bengal"/>
    <x v="1"/>
    <x v="2"/>
    <x v="3"/>
    <n v="28015.79"/>
    <n v="5"/>
    <n v="0.25"/>
    <n v="-700.39"/>
  </r>
  <r>
    <s v="ORD1870"/>
    <x v="305"/>
    <s v="CUST419"/>
    <s v="Rahul Das"/>
    <x v="1"/>
    <x v="3"/>
    <s v="Telangana"/>
    <x v="2"/>
    <x v="0"/>
    <x v="3"/>
    <n v="34429.69"/>
    <n v="1"/>
    <n v="0.14000000000000001"/>
    <n v="1032.8900000000001"/>
  </r>
  <r>
    <s v="ORD1378"/>
    <x v="306"/>
    <s v="CUST506"/>
    <s v="Neha Singh"/>
    <x v="1"/>
    <x v="4"/>
    <s v="Karnataka"/>
    <x v="3"/>
    <x v="2"/>
    <x v="4"/>
    <n v="49022.68"/>
    <n v="8"/>
    <n v="0.21"/>
    <n v="-245.11"/>
  </r>
  <r>
    <s v="ORD1991"/>
    <x v="306"/>
    <s v="CUST416"/>
    <s v="Sneha Paul"/>
    <x v="0"/>
    <x v="2"/>
    <s v="Delhi"/>
    <x v="2"/>
    <x v="0"/>
    <x v="2"/>
    <n v="23765.63"/>
    <n v="4"/>
    <n v="0.21"/>
    <n v="-118.83"/>
  </r>
  <r>
    <s v="ORD2041"/>
    <x v="307"/>
    <s v="CUST285"/>
    <s v="Sneha Paul"/>
    <x v="2"/>
    <x v="0"/>
    <s v="Maharashtra"/>
    <x v="0"/>
    <x v="2"/>
    <x v="3"/>
    <n v="20162.509999999998"/>
    <n v="3"/>
    <n v="0.26"/>
    <n v="-604.88"/>
  </r>
  <r>
    <s v="ORD2264"/>
    <x v="307"/>
    <s v="CUST430"/>
    <s v="Amit Sharma"/>
    <x v="0"/>
    <x v="1"/>
    <s v="West Bengal"/>
    <x v="1"/>
    <x v="0"/>
    <x v="2"/>
    <n v="14495.39"/>
    <n v="8"/>
    <n v="0.11"/>
    <n v="652.29"/>
  </r>
  <r>
    <s v="ORD2374"/>
    <x v="307"/>
    <s v="CUST677"/>
    <s v="Amit Sharma"/>
    <x v="0"/>
    <x v="5"/>
    <s v="Tamil Nadu"/>
    <x v="1"/>
    <x v="1"/>
    <x v="5"/>
    <n v="30092.02"/>
    <n v="3"/>
    <n v="0.03"/>
    <n v="2557.8200000000002"/>
  </r>
  <r>
    <s v="ORD1304"/>
    <x v="308"/>
    <s v="CUST258"/>
    <s v="Ankit Roy"/>
    <x v="2"/>
    <x v="2"/>
    <s v="Delhi"/>
    <x v="2"/>
    <x v="2"/>
    <x v="0"/>
    <n v="34555.71"/>
    <n v="1"/>
    <n v="0.05"/>
    <n v="2591.6799999999998"/>
  </r>
  <r>
    <s v="ORD2423"/>
    <x v="308"/>
    <s v="CUST434"/>
    <s v="Sneha Paul"/>
    <x v="2"/>
    <x v="5"/>
    <s v="Tamil Nadu"/>
    <x v="1"/>
    <x v="1"/>
    <x v="5"/>
    <n v="14426.96"/>
    <n v="6"/>
    <n v="0.06"/>
    <n v="1009.89"/>
  </r>
  <r>
    <s v="ORD1161"/>
    <x v="309"/>
    <s v="CUST206"/>
    <s v="Ravi Kumar"/>
    <x v="1"/>
    <x v="1"/>
    <s v="West Bengal"/>
    <x v="1"/>
    <x v="1"/>
    <x v="1"/>
    <n v="37004.75"/>
    <n v="5"/>
    <n v="0.27"/>
    <n v="-1295.17"/>
  </r>
  <r>
    <s v="ORD1687"/>
    <x v="309"/>
    <s v="CUST870"/>
    <s v="Pooja Verma"/>
    <x v="1"/>
    <x v="4"/>
    <s v="Karnataka"/>
    <x v="3"/>
    <x v="1"/>
    <x v="1"/>
    <n v="40585.17"/>
    <n v="9"/>
    <n v="0.03"/>
    <n v="3449.74"/>
  </r>
  <r>
    <s v="ORD1843"/>
    <x v="309"/>
    <s v="CUST180"/>
    <s v="Rahul Das"/>
    <x v="2"/>
    <x v="4"/>
    <s v="Karnataka"/>
    <x v="3"/>
    <x v="2"/>
    <x v="2"/>
    <n v="16645.46"/>
    <n v="10"/>
    <n v="0.23"/>
    <n v="-249.68"/>
  </r>
  <r>
    <s v="ORD1975"/>
    <x v="309"/>
    <s v="CUST662"/>
    <s v="Pooja Verma"/>
    <x v="0"/>
    <x v="3"/>
    <s v="Telangana"/>
    <x v="2"/>
    <x v="2"/>
    <x v="2"/>
    <n v="25277.39"/>
    <n v="2"/>
    <n v="7.0000000000000007E-2"/>
    <n v="1643.03"/>
  </r>
  <r>
    <s v="ORD2484"/>
    <x v="309"/>
    <s v="CUST493"/>
    <s v="Neha Singh"/>
    <x v="0"/>
    <x v="0"/>
    <s v="Maharashtra"/>
    <x v="0"/>
    <x v="1"/>
    <x v="5"/>
    <n v="45074.22"/>
    <n v="6"/>
    <n v="0.12"/>
    <n v="1802.97"/>
  </r>
  <r>
    <s v="ORD1976"/>
    <x v="310"/>
    <s v="CUST660"/>
    <s v="Ravi Kumar"/>
    <x v="0"/>
    <x v="5"/>
    <s v="Tamil Nadu"/>
    <x v="1"/>
    <x v="1"/>
    <x v="6"/>
    <n v="14288.73"/>
    <n v="1"/>
    <n v="0.03"/>
    <n v="1214.54"/>
  </r>
  <r>
    <s v="ORD2017"/>
    <x v="310"/>
    <s v="CUST615"/>
    <s v="Ravi Kumar"/>
    <x v="2"/>
    <x v="0"/>
    <s v="Maharashtra"/>
    <x v="0"/>
    <x v="2"/>
    <x v="2"/>
    <n v="43153.93"/>
    <n v="2"/>
    <n v="0.06"/>
    <n v="3020.78"/>
  </r>
  <r>
    <s v="ORD2382"/>
    <x v="310"/>
    <s v="CUST154"/>
    <s v="Ravi Kumar"/>
    <x v="1"/>
    <x v="5"/>
    <s v="Tamil Nadu"/>
    <x v="1"/>
    <x v="0"/>
    <x v="5"/>
    <n v="43695.02"/>
    <n v="1"/>
    <n v="0.13"/>
    <n v="1529.33"/>
  </r>
  <r>
    <s v="ORD2104"/>
    <x v="311"/>
    <s v="CUST993"/>
    <s v="Rahul Das"/>
    <x v="1"/>
    <x v="0"/>
    <s v="Maharashtra"/>
    <x v="0"/>
    <x v="2"/>
    <x v="1"/>
    <n v="39057.68"/>
    <n v="4"/>
    <n v="0.09"/>
    <n v="2148.17"/>
  </r>
  <r>
    <s v="ORD2425"/>
    <x v="311"/>
    <s v="CUST777"/>
    <s v="Ankit Roy"/>
    <x v="2"/>
    <x v="4"/>
    <s v="Karnataka"/>
    <x v="3"/>
    <x v="1"/>
    <x v="4"/>
    <n v="41419.949999999997"/>
    <n v="6"/>
    <n v="0.23"/>
    <n v="-621.29999999999995"/>
  </r>
  <r>
    <s v="ORD2431"/>
    <x v="311"/>
    <s v="CUST541"/>
    <s v="Pooja Verma"/>
    <x v="1"/>
    <x v="3"/>
    <s v="Telangana"/>
    <x v="2"/>
    <x v="0"/>
    <x v="6"/>
    <n v="23421.4"/>
    <n v="3"/>
    <n v="0.14000000000000001"/>
    <n v="702.64"/>
  </r>
  <r>
    <s v="ORD1473"/>
    <x v="312"/>
    <s v="CUST740"/>
    <s v="Sneha Paul"/>
    <x v="1"/>
    <x v="3"/>
    <s v="Telangana"/>
    <x v="2"/>
    <x v="0"/>
    <x v="2"/>
    <n v="43002.86"/>
    <n v="4"/>
    <n v="0.2"/>
    <n v="0"/>
  </r>
  <r>
    <s v="ORD2362"/>
    <x v="312"/>
    <s v="CUST218"/>
    <s v="Amit Sharma"/>
    <x v="2"/>
    <x v="0"/>
    <s v="Maharashtra"/>
    <x v="0"/>
    <x v="0"/>
    <x v="4"/>
    <n v="12950.2"/>
    <n v="4"/>
    <n v="0.18"/>
    <n v="129.5"/>
  </r>
  <r>
    <s v="ORD1172"/>
    <x v="313"/>
    <s v="CUST231"/>
    <s v="Pooja Verma"/>
    <x v="0"/>
    <x v="1"/>
    <s v="West Bengal"/>
    <x v="1"/>
    <x v="2"/>
    <x v="0"/>
    <n v="20634.400000000001"/>
    <n v="2"/>
    <n v="0.14000000000000001"/>
    <n v="619.03"/>
  </r>
  <r>
    <s v="ORD1488"/>
    <x v="313"/>
    <s v="CUST602"/>
    <s v="Rahul Das"/>
    <x v="2"/>
    <x v="2"/>
    <s v="Delhi"/>
    <x v="2"/>
    <x v="1"/>
    <x v="5"/>
    <n v="44868.79"/>
    <n v="8"/>
    <n v="0.03"/>
    <n v="3813.85"/>
  </r>
  <r>
    <s v="ORD1096"/>
    <x v="314"/>
    <s v="CUST521"/>
    <s v="Amit Sharma"/>
    <x v="2"/>
    <x v="0"/>
    <s v="Maharashtra"/>
    <x v="0"/>
    <x v="1"/>
    <x v="0"/>
    <n v="38334.94"/>
    <n v="4"/>
    <n v="0.18"/>
    <n v="383.35"/>
  </r>
  <r>
    <s v="ORD1092"/>
    <x v="315"/>
    <s v="CUST760"/>
    <s v="Sneha Paul"/>
    <x v="1"/>
    <x v="4"/>
    <s v="Karnataka"/>
    <x v="3"/>
    <x v="2"/>
    <x v="3"/>
    <n v="7970.97"/>
    <n v="9"/>
    <n v="0.21"/>
    <n v="-39.85"/>
  </r>
  <r>
    <s v="ORD1636"/>
    <x v="316"/>
    <s v="CUST365"/>
    <s v="Amit Sharma"/>
    <x v="2"/>
    <x v="0"/>
    <s v="Maharashtra"/>
    <x v="0"/>
    <x v="2"/>
    <x v="2"/>
    <n v="1092.68"/>
    <n v="6"/>
    <n v="0.05"/>
    <n v="81.95"/>
  </r>
  <r>
    <s v="ORD1202"/>
    <x v="317"/>
    <s v="CUST801"/>
    <s v="Amit Sharma"/>
    <x v="1"/>
    <x v="4"/>
    <s v="Karnataka"/>
    <x v="3"/>
    <x v="1"/>
    <x v="5"/>
    <n v="2341.92"/>
    <n v="3"/>
    <n v="0.24"/>
    <n v="-46.84"/>
  </r>
  <r>
    <s v="ORD1724"/>
    <x v="317"/>
    <s v="CUST447"/>
    <s v="Neha Singh"/>
    <x v="0"/>
    <x v="1"/>
    <s v="West Bengal"/>
    <x v="1"/>
    <x v="1"/>
    <x v="2"/>
    <n v="26015.24"/>
    <n v="6"/>
    <n v="0.25"/>
    <n v="-650.38"/>
  </r>
  <r>
    <s v="ORD1829"/>
    <x v="317"/>
    <s v="CUST963"/>
    <s v="Pooja Verma"/>
    <x v="2"/>
    <x v="1"/>
    <s v="West Bengal"/>
    <x v="1"/>
    <x v="2"/>
    <x v="2"/>
    <n v="11412.67"/>
    <n v="6"/>
    <n v="0.08"/>
    <n v="684.76"/>
  </r>
  <r>
    <s v="ORD1845"/>
    <x v="317"/>
    <s v="CUST335"/>
    <s v="Amit Sharma"/>
    <x v="1"/>
    <x v="0"/>
    <s v="Maharashtra"/>
    <x v="0"/>
    <x v="0"/>
    <x v="4"/>
    <n v="44462.37"/>
    <n v="1"/>
    <n v="0.2"/>
    <n v="0"/>
  </r>
  <r>
    <s v="ORD1851"/>
    <x v="317"/>
    <s v="CUST978"/>
    <s v="Neha Singh"/>
    <x v="1"/>
    <x v="4"/>
    <s v="Karnataka"/>
    <x v="3"/>
    <x v="0"/>
    <x v="4"/>
    <n v="38039.86"/>
    <n v="7"/>
    <n v="0.09"/>
    <n v="2092.19"/>
  </r>
  <r>
    <s v="ORD1934"/>
    <x v="317"/>
    <s v="CUST222"/>
    <s v="Ravi Kumar"/>
    <x v="0"/>
    <x v="2"/>
    <s v="Delhi"/>
    <x v="2"/>
    <x v="1"/>
    <x v="4"/>
    <n v="31555.9"/>
    <n v="5"/>
    <n v="0.27"/>
    <n v="-1104.46"/>
  </r>
  <r>
    <s v="ORD2227"/>
    <x v="317"/>
    <s v="CUST374"/>
    <s v="Ankit Roy"/>
    <x v="2"/>
    <x v="2"/>
    <s v="Delhi"/>
    <x v="2"/>
    <x v="2"/>
    <x v="6"/>
    <n v="47042.45"/>
    <n v="1"/>
    <n v="0.26"/>
    <n v="-1411.27"/>
  </r>
  <r>
    <s v="ORD1007"/>
    <x v="318"/>
    <s v="CUST230"/>
    <s v="Ankit Roy"/>
    <x v="0"/>
    <x v="1"/>
    <s v="West Bengal"/>
    <x v="1"/>
    <x v="2"/>
    <x v="6"/>
    <n v="1236.3599999999999"/>
    <n v="9"/>
    <n v="7.0000000000000007E-2"/>
    <n v="80.36"/>
  </r>
  <r>
    <s v="ORD1057"/>
    <x v="318"/>
    <s v="CUST429"/>
    <s v="Sneha Paul"/>
    <x v="0"/>
    <x v="1"/>
    <s v="West Bengal"/>
    <x v="1"/>
    <x v="2"/>
    <x v="0"/>
    <n v="5339.6"/>
    <n v="8"/>
    <n v="0.21"/>
    <n v="-26.7"/>
  </r>
  <r>
    <s v="ORD1682"/>
    <x v="318"/>
    <s v="CUST900"/>
    <s v="Ravi Kumar"/>
    <x v="0"/>
    <x v="3"/>
    <s v="Telangana"/>
    <x v="2"/>
    <x v="2"/>
    <x v="4"/>
    <n v="18378.82"/>
    <n v="9"/>
    <n v="0.26"/>
    <n v="-551.36"/>
  </r>
  <r>
    <s v="ORD2456"/>
    <x v="318"/>
    <s v="CUST264"/>
    <s v="Ravi Kumar"/>
    <x v="2"/>
    <x v="0"/>
    <s v="Maharashtra"/>
    <x v="0"/>
    <x v="0"/>
    <x v="0"/>
    <n v="34926.839999999997"/>
    <n v="2"/>
    <n v="0.02"/>
    <n v="3143.42"/>
  </r>
  <r>
    <s v="ORD1215"/>
    <x v="319"/>
    <s v="CUST912"/>
    <s v="Neha Singh"/>
    <x v="2"/>
    <x v="2"/>
    <s v="Delhi"/>
    <x v="2"/>
    <x v="0"/>
    <x v="2"/>
    <n v="43338.78"/>
    <n v="2"/>
    <n v="0.04"/>
    <n v="3467.1"/>
  </r>
  <r>
    <s v="ORD1384"/>
    <x v="319"/>
    <s v="CUST263"/>
    <s v="Ankit Roy"/>
    <x v="1"/>
    <x v="0"/>
    <s v="Maharashtra"/>
    <x v="0"/>
    <x v="2"/>
    <x v="0"/>
    <n v="12492.26"/>
    <n v="5"/>
    <n v="0.22"/>
    <n v="-124.92"/>
  </r>
  <r>
    <s v="ORD1104"/>
    <x v="320"/>
    <s v="CUST247"/>
    <s v="Amit Sharma"/>
    <x v="1"/>
    <x v="3"/>
    <s v="Telangana"/>
    <x v="2"/>
    <x v="2"/>
    <x v="2"/>
    <n v="6551.54"/>
    <n v="8"/>
    <n v="0.16"/>
    <n v="131.03"/>
  </r>
  <r>
    <s v="ORD1551"/>
    <x v="320"/>
    <s v="CUST947"/>
    <s v="Pooja Verma"/>
    <x v="1"/>
    <x v="3"/>
    <s v="Telangana"/>
    <x v="2"/>
    <x v="2"/>
    <x v="4"/>
    <n v="42627.23"/>
    <n v="1"/>
    <n v="0.28000000000000003"/>
    <n v="-1705.09"/>
  </r>
  <r>
    <s v="ORD2122"/>
    <x v="320"/>
    <s v="CUST867"/>
    <s v="Ankit Roy"/>
    <x v="1"/>
    <x v="2"/>
    <s v="Delhi"/>
    <x v="2"/>
    <x v="0"/>
    <x v="0"/>
    <n v="4804.88"/>
    <n v="6"/>
    <n v="0.21"/>
    <n v="-24.02"/>
  </r>
  <r>
    <s v="ORD2351"/>
    <x v="320"/>
    <s v="CUST997"/>
    <s v="Ravi Kumar"/>
    <x v="0"/>
    <x v="2"/>
    <s v="Delhi"/>
    <x v="2"/>
    <x v="0"/>
    <x v="1"/>
    <n v="10418.65"/>
    <n v="2"/>
    <n v="0.28000000000000003"/>
    <n v="-416.75"/>
  </r>
  <r>
    <s v="ORD2432"/>
    <x v="320"/>
    <s v="CUST472"/>
    <s v="Pooja Verma"/>
    <x v="1"/>
    <x v="0"/>
    <s v="Maharashtra"/>
    <x v="0"/>
    <x v="0"/>
    <x v="2"/>
    <n v="15509.32"/>
    <n v="10"/>
    <n v="0.28000000000000003"/>
    <n v="-620.37"/>
  </r>
  <r>
    <s v="ORD2499"/>
    <x v="320"/>
    <s v="CUST565"/>
    <s v="Pooja Verma"/>
    <x v="1"/>
    <x v="2"/>
    <s v="Delhi"/>
    <x v="2"/>
    <x v="0"/>
    <x v="3"/>
    <n v="2504.42"/>
    <n v="6"/>
    <n v="7.0000000000000007E-2"/>
    <n v="162.79"/>
  </r>
  <r>
    <s v="ORD1745"/>
    <x v="321"/>
    <s v="CUST652"/>
    <s v="Ankit Roy"/>
    <x v="2"/>
    <x v="0"/>
    <s v="Maharashtra"/>
    <x v="0"/>
    <x v="2"/>
    <x v="6"/>
    <n v="31152.34"/>
    <n v="9"/>
    <n v="0.1"/>
    <n v="1557.62"/>
  </r>
  <r>
    <s v="ORD1393"/>
    <x v="322"/>
    <s v="CUST796"/>
    <s v="Ankit Roy"/>
    <x v="1"/>
    <x v="1"/>
    <s v="West Bengal"/>
    <x v="1"/>
    <x v="0"/>
    <x v="3"/>
    <n v="47819.94"/>
    <n v="2"/>
    <n v="0.28999999999999998"/>
    <n v="-2151.9"/>
  </r>
  <r>
    <s v="ORD2196"/>
    <x v="322"/>
    <s v="CUST586"/>
    <s v="Rahul Das"/>
    <x v="2"/>
    <x v="2"/>
    <s v="Delhi"/>
    <x v="2"/>
    <x v="1"/>
    <x v="5"/>
    <n v="48740.85"/>
    <n v="10"/>
    <n v="0.15"/>
    <n v="1218.52"/>
  </r>
  <r>
    <s v="ORD1825"/>
    <x v="323"/>
    <s v="CUST378"/>
    <s v="Ankit Roy"/>
    <x v="1"/>
    <x v="5"/>
    <s v="Tamil Nadu"/>
    <x v="1"/>
    <x v="0"/>
    <x v="2"/>
    <n v="26070.43"/>
    <n v="3"/>
    <n v="0.18"/>
    <n v="260.7"/>
  </r>
  <r>
    <s v="ORD1900"/>
    <x v="323"/>
    <s v="CUST550"/>
    <s v="Ravi Kumar"/>
    <x v="0"/>
    <x v="4"/>
    <s v="Karnataka"/>
    <x v="3"/>
    <x v="2"/>
    <x v="4"/>
    <n v="14808.83"/>
    <n v="6"/>
    <n v="0.06"/>
    <n v="1036.6199999999999"/>
  </r>
  <r>
    <s v="ORD2050"/>
    <x v="323"/>
    <s v="CUST154"/>
    <s v="Amit Sharma"/>
    <x v="2"/>
    <x v="0"/>
    <s v="Maharashtra"/>
    <x v="0"/>
    <x v="2"/>
    <x v="3"/>
    <n v="25890.32"/>
    <n v="4"/>
    <n v="0.25"/>
    <n v="-647.26"/>
  </r>
  <r>
    <s v="ORD2100"/>
    <x v="323"/>
    <s v="CUST910"/>
    <s v="Rahul Das"/>
    <x v="1"/>
    <x v="2"/>
    <s v="Delhi"/>
    <x v="2"/>
    <x v="2"/>
    <x v="6"/>
    <n v="18583.72"/>
    <n v="2"/>
    <n v="0.18"/>
    <n v="185.84"/>
  </r>
  <r>
    <s v="ORD2288"/>
    <x v="323"/>
    <s v="CUST999"/>
    <s v="Rahul Das"/>
    <x v="0"/>
    <x v="0"/>
    <s v="Maharashtra"/>
    <x v="0"/>
    <x v="1"/>
    <x v="2"/>
    <n v="25070.97"/>
    <n v="1"/>
    <n v="0.23"/>
    <n v="-376.06"/>
  </r>
  <r>
    <s v="ORD1496"/>
    <x v="294"/>
    <s v="CUST538"/>
    <s v="Ravi Kumar"/>
    <x v="2"/>
    <x v="2"/>
    <s v="Delhi"/>
    <x v="2"/>
    <x v="2"/>
    <x v="5"/>
    <n v="16575.93"/>
    <n v="4"/>
    <n v="0.18"/>
    <n v="165.76"/>
  </r>
  <r>
    <s v="ORD1886"/>
    <x v="136"/>
    <s v="CUST772"/>
    <s v="Pooja Verma"/>
    <x v="0"/>
    <x v="4"/>
    <s v="Karnataka"/>
    <x v="3"/>
    <x v="2"/>
    <x v="1"/>
    <n v="39147.26"/>
    <n v="3"/>
    <n v="0.19"/>
    <n v="195.74"/>
  </r>
  <r>
    <s v="ORD2195"/>
    <x v="324"/>
    <s v="CUST921"/>
    <s v="Neha Singh"/>
    <x v="1"/>
    <x v="1"/>
    <s v="West Bengal"/>
    <x v="1"/>
    <x v="2"/>
    <x v="0"/>
    <n v="34086.550000000003"/>
    <n v="8"/>
    <n v="0.14000000000000001"/>
    <n v="1022.6"/>
  </r>
  <r>
    <s v="ORD2206"/>
    <x v="325"/>
    <s v="CUST644"/>
    <s v="Neha Singh"/>
    <x v="2"/>
    <x v="2"/>
    <s v="Delhi"/>
    <x v="2"/>
    <x v="0"/>
    <x v="2"/>
    <n v="5628.43"/>
    <n v="5"/>
    <n v="0.09"/>
    <n v="309.56"/>
  </r>
  <r>
    <s v="ORD2495"/>
    <x v="161"/>
    <s v="CUST227"/>
    <s v="Ravi Kumar"/>
    <x v="1"/>
    <x v="1"/>
    <s v="West Bengal"/>
    <x v="1"/>
    <x v="0"/>
    <x v="4"/>
    <n v="12956.01"/>
    <n v="9"/>
    <n v="0.28000000000000003"/>
    <n v="-518.24"/>
  </r>
  <r>
    <s v="ORD1065"/>
    <x v="261"/>
    <s v="CUST299"/>
    <s v="Sneha Paul"/>
    <x v="0"/>
    <x v="5"/>
    <s v="Tamil Nadu"/>
    <x v="1"/>
    <x v="0"/>
    <x v="2"/>
    <n v="30844.89"/>
    <n v="9"/>
    <n v="0.23"/>
    <n v="-462.67"/>
  </r>
  <r>
    <s v="ORD1534"/>
    <x v="241"/>
    <s v="CUST195"/>
    <s v="Amit Sharma"/>
    <x v="1"/>
    <x v="3"/>
    <s v="Telangana"/>
    <x v="2"/>
    <x v="1"/>
    <x v="0"/>
    <n v="12930.83"/>
    <n v="9"/>
    <n v="0.05"/>
    <n v="969.81"/>
  </r>
  <r>
    <s v="ORD1628"/>
    <x v="326"/>
    <s v="CUST753"/>
    <s v="Pooja Verma"/>
    <x v="1"/>
    <x v="3"/>
    <s v="Telangana"/>
    <x v="2"/>
    <x v="2"/>
    <x v="1"/>
    <n v="43906.31"/>
    <n v="4"/>
    <n v="0.03"/>
    <n v="3732.04"/>
  </r>
  <r>
    <s v="ORD1675"/>
    <x v="250"/>
    <s v="CUST793"/>
    <s v="Neha Singh"/>
    <x v="0"/>
    <x v="4"/>
    <s v="Karnataka"/>
    <x v="3"/>
    <x v="2"/>
    <x v="5"/>
    <n v="26658.28"/>
    <n v="3"/>
    <n v="0.18"/>
    <n v="266.58"/>
  </r>
  <r>
    <s v="ORD1862"/>
    <x v="86"/>
    <s v="CUST789"/>
    <s v="Pooja Verma"/>
    <x v="2"/>
    <x v="1"/>
    <s v="West Bengal"/>
    <x v="1"/>
    <x v="0"/>
    <x v="0"/>
    <n v="8899.0499999999993"/>
    <n v="2"/>
    <n v="0.22"/>
    <n v="-88.99"/>
  </r>
  <r>
    <s v="ORD2184"/>
    <x v="135"/>
    <s v="CUST706"/>
    <s v="Amit Sharma"/>
    <x v="2"/>
    <x v="1"/>
    <s v="West Bengal"/>
    <x v="1"/>
    <x v="1"/>
    <x v="0"/>
    <n v="26280.61"/>
    <n v="10"/>
    <n v="0.04"/>
    <n v="2102.4499999999998"/>
  </r>
  <r>
    <s v="ORD1701"/>
    <x v="173"/>
    <s v="CUST573"/>
    <s v="Ankit Roy"/>
    <x v="0"/>
    <x v="3"/>
    <s v="Telangana"/>
    <x v="2"/>
    <x v="2"/>
    <x v="2"/>
    <n v="16335.01"/>
    <n v="10"/>
    <n v="0.21"/>
    <n v="-81.680000000000007"/>
  </r>
  <r>
    <s v="ORD1023"/>
    <x v="111"/>
    <s v="CUST737"/>
    <s v="Ankit Roy"/>
    <x v="1"/>
    <x v="1"/>
    <s v="West Bengal"/>
    <x v="1"/>
    <x v="2"/>
    <x v="3"/>
    <n v="5980"/>
    <n v="6"/>
    <n v="7.0000000000000007E-2"/>
    <n v="388.7"/>
  </r>
  <r>
    <s v="ORD2317"/>
    <x v="204"/>
    <s v="CUST508"/>
    <s v="Ravi Kumar"/>
    <x v="1"/>
    <x v="0"/>
    <s v="Maharashtra"/>
    <x v="0"/>
    <x v="0"/>
    <x v="4"/>
    <n v="48901.4"/>
    <n v="8"/>
    <n v="0.28999999999999998"/>
    <n v="-2200.56"/>
  </r>
  <r>
    <s v="ORD2318"/>
    <x v="184"/>
    <s v="CUST190"/>
    <s v="Neha Singh"/>
    <x v="2"/>
    <x v="3"/>
    <s v="Telangana"/>
    <x v="2"/>
    <x v="1"/>
    <x v="5"/>
    <n v="14628.39"/>
    <n v="2"/>
    <n v="0.17"/>
    <n v="219.43"/>
  </r>
  <r>
    <s v="ORD1106"/>
    <x v="240"/>
    <s v="CUST262"/>
    <s v="Rahul Das"/>
    <x v="0"/>
    <x v="0"/>
    <s v="Maharashtra"/>
    <x v="0"/>
    <x v="2"/>
    <x v="4"/>
    <n v="15486.54"/>
    <n v="8"/>
    <n v="0.13"/>
    <n v="542.03"/>
  </r>
  <r>
    <s v="ORD1770"/>
    <x v="89"/>
    <s v="CUST396"/>
    <s v="Pooja Verma"/>
    <x v="1"/>
    <x v="1"/>
    <s v="West Bengal"/>
    <x v="1"/>
    <x v="0"/>
    <x v="2"/>
    <n v="36423.839999999997"/>
    <n v="8"/>
    <n v="0.14000000000000001"/>
    <n v="1092.72"/>
  </r>
  <r>
    <s v="ORD2416"/>
    <x v="68"/>
    <s v="CUST446"/>
    <s v="Sneha Paul"/>
    <x v="0"/>
    <x v="0"/>
    <s v="Maharashtra"/>
    <x v="0"/>
    <x v="0"/>
    <x v="1"/>
    <n v="24288.55"/>
    <n v="4"/>
    <n v="0.09"/>
    <n v="1335.87"/>
  </r>
  <r>
    <s v="ORD1123"/>
    <x v="173"/>
    <s v="CUST933"/>
    <s v="Ravi Kumar"/>
    <x v="2"/>
    <x v="0"/>
    <s v="Maharashtra"/>
    <x v="0"/>
    <x v="1"/>
    <x v="0"/>
    <n v="47196.42"/>
    <n v="9"/>
    <n v="0.27"/>
    <n v="-1651.87"/>
  </r>
  <r>
    <s v="ORD1351"/>
    <x v="294"/>
    <s v="CUST583"/>
    <s v="Amit Sharma"/>
    <x v="2"/>
    <x v="3"/>
    <s v="Telangana"/>
    <x v="2"/>
    <x v="1"/>
    <x v="4"/>
    <n v="27018.92"/>
    <n v="2"/>
    <n v="0.12"/>
    <n v="1080.76"/>
  </r>
  <r>
    <s v="ORD1470"/>
    <x v="327"/>
    <s v="CUST739"/>
    <s v="Amit Sharma"/>
    <x v="1"/>
    <x v="4"/>
    <s v="Karnataka"/>
    <x v="3"/>
    <x v="0"/>
    <x v="5"/>
    <n v="43219.96"/>
    <n v="3"/>
    <n v="0.11"/>
    <n v="1944.9"/>
  </r>
  <r>
    <s v="ORD2231"/>
    <x v="45"/>
    <s v="CUST980"/>
    <s v="Rahul Das"/>
    <x v="0"/>
    <x v="0"/>
    <s v="Maharashtra"/>
    <x v="0"/>
    <x v="2"/>
    <x v="6"/>
    <n v="46871.22"/>
    <n v="1"/>
    <n v="0.22"/>
    <n v="-468.71"/>
  </r>
  <r>
    <s v="ORD1043"/>
    <x v="183"/>
    <s v="CUST270"/>
    <s v="Amit Sharma"/>
    <x v="0"/>
    <x v="1"/>
    <s v="West Bengal"/>
    <x v="1"/>
    <x v="0"/>
    <x v="1"/>
    <n v="45957.51"/>
    <n v="2"/>
    <n v="0.26"/>
    <n v="-1378.73"/>
  </r>
  <r>
    <s v="ORD1195"/>
    <x v="99"/>
    <s v="CUST569"/>
    <s v="Pooja Verma"/>
    <x v="2"/>
    <x v="0"/>
    <s v="Maharashtra"/>
    <x v="0"/>
    <x v="0"/>
    <x v="5"/>
    <n v="38556.550000000003"/>
    <n v="2"/>
    <n v="0.15"/>
    <n v="963.91"/>
  </r>
  <r>
    <s v="ORD1371"/>
    <x v="80"/>
    <s v="CUST626"/>
    <s v="Pooja Verma"/>
    <x v="0"/>
    <x v="5"/>
    <s v="Tamil Nadu"/>
    <x v="1"/>
    <x v="1"/>
    <x v="6"/>
    <n v="47706.51"/>
    <n v="8"/>
    <n v="0.15"/>
    <n v="1192.6600000000001"/>
  </r>
  <r>
    <s v="ORD1415"/>
    <x v="295"/>
    <s v="CUST804"/>
    <s v="Sneha Paul"/>
    <x v="0"/>
    <x v="4"/>
    <s v="Karnataka"/>
    <x v="3"/>
    <x v="2"/>
    <x v="6"/>
    <n v="16987.439999999999"/>
    <n v="3"/>
    <n v="0.26"/>
    <n v="-509.62"/>
  </r>
  <r>
    <s v="ORD1359"/>
    <x v="38"/>
    <s v="CUST796"/>
    <s v="Ravi Kumar"/>
    <x v="0"/>
    <x v="4"/>
    <s v="Karnataka"/>
    <x v="3"/>
    <x v="2"/>
    <x v="2"/>
    <n v="22765.599999999999"/>
    <n v="3"/>
    <n v="0.25"/>
    <n v="-569.14"/>
  </r>
  <r>
    <s v="ORD1913"/>
    <x v="141"/>
    <s v="CUST304"/>
    <s v="Amit Sharma"/>
    <x v="1"/>
    <x v="3"/>
    <s v="Telangana"/>
    <x v="2"/>
    <x v="2"/>
    <x v="5"/>
    <n v="5264.69"/>
    <n v="9"/>
    <n v="0.23"/>
    <n v="-78.97"/>
  </r>
  <r>
    <s v="ORD2428"/>
    <x v="173"/>
    <s v="CUST964"/>
    <s v="Sneha Paul"/>
    <x v="1"/>
    <x v="3"/>
    <s v="Telangana"/>
    <x v="2"/>
    <x v="0"/>
    <x v="5"/>
    <n v="26104.52"/>
    <n v="6"/>
    <n v="0.28999999999999998"/>
    <n v="-1174.7"/>
  </r>
  <r>
    <s v="ORD1010"/>
    <x v="210"/>
    <s v="CUST727"/>
    <s v="Neha Singh"/>
    <x v="2"/>
    <x v="1"/>
    <s v="West Bengal"/>
    <x v="1"/>
    <x v="0"/>
    <x v="5"/>
    <n v="16901"/>
    <n v="8"/>
    <n v="0.26"/>
    <n v="-507.03"/>
  </r>
  <r>
    <s v="ORD1805"/>
    <x v="157"/>
    <s v="CUST915"/>
    <s v="Amit Sharma"/>
    <x v="1"/>
    <x v="4"/>
    <s v="Karnataka"/>
    <x v="3"/>
    <x v="0"/>
    <x v="3"/>
    <n v="30625.4"/>
    <n v="3"/>
    <n v="0.14000000000000001"/>
    <n v="918.76"/>
  </r>
  <r>
    <s v="ORD1852"/>
    <x v="280"/>
    <s v="CUST155"/>
    <s v="Pooja Verma"/>
    <x v="2"/>
    <x v="5"/>
    <s v="Tamil Nadu"/>
    <x v="1"/>
    <x v="2"/>
    <x v="1"/>
    <n v="17822.37"/>
    <n v="2"/>
    <n v="0.24"/>
    <n v="-356.45"/>
  </r>
  <r>
    <s v="ORD2389"/>
    <x v="15"/>
    <s v="CUST338"/>
    <s v="Neha Singh"/>
    <x v="0"/>
    <x v="5"/>
    <s v="Tamil Nadu"/>
    <x v="1"/>
    <x v="0"/>
    <x v="1"/>
    <n v="12462.28"/>
    <n v="2"/>
    <n v="7.0000000000000007E-2"/>
    <n v="810.05"/>
  </r>
  <r>
    <s v="ORD1345"/>
    <x v="292"/>
    <s v="CUST226"/>
    <s v="Ravi Kumar"/>
    <x v="0"/>
    <x v="4"/>
    <s v="Karnataka"/>
    <x v="3"/>
    <x v="1"/>
    <x v="3"/>
    <n v="9080.4699999999993"/>
    <n v="3"/>
    <n v="0.03"/>
    <n v="771.84"/>
  </r>
  <r>
    <s v="ORD1553"/>
    <x v="75"/>
    <s v="CUST806"/>
    <s v="Ravi Kumar"/>
    <x v="2"/>
    <x v="4"/>
    <s v="Karnataka"/>
    <x v="3"/>
    <x v="2"/>
    <x v="1"/>
    <n v="42724.35"/>
    <n v="2"/>
    <n v="0.19"/>
    <n v="213.62"/>
  </r>
  <r>
    <s v="ORD1076"/>
    <x v="116"/>
    <s v="CUST957"/>
    <s v="Neha Singh"/>
    <x v="2"/>
    <x v="3"/>
    <s v="Telangana"/>
    <x v="2"/>
    <x v="1"/>
    <x v="1"/>
    <n v="38287.32"/>
    <n v="8"/>
    <n v="0.12"/>
    <n v="1531.49"/>
  </r>
  <r>
    <s v="ORD1314"/>
    <x v="196"/>
    <s v="CUST625"/>
    <s v="Amit Sharma"/>
    <x v="1"/>
    <x v="1"/>
    <s v="West Bengal"/>
    <x v="1"/>
    <x v="1"/>
    <x v="6"/>
    <n v="47890.21"/>
    <n v="8"/>
    <n v="0.19"/>
    <n v="239.45"/>
  </r>
  <r>
    <s v="ORD2060"/>
    <x v="183"/>
    <s v="CUST611"/>
    <s v="Amit Sharma"/>
    <x v="1"/>
    <x v="0"/>
    <s v="Maharashtra"/>
    <x v="0"/>
    <x v="2"/>
    <x v="2"/>
    <n v="33831.07"/>
    <n v="8"/>
    <n v="0.26"/>
    <n v="-1014.93"/>
  </r>
  <r>
    <s v="ORD2415"/>
    <x v="90"/>
    <s v="CUST296"/>
    <s v="Rahul Das"/>
    <x v="1"/>
    <x v="4"/>
    <s v="Karnataka"/>
    <x v="3"/>
    <x v="1"/>
    <x v="3"/>
    <n v="24140.92"/>
    <n v="2"/>
    <n v="0.01"/>
    <n v="2293.39"/>
  </r>
  <r>
    <s v="ORD1115"/>
    <x v="249"/>
    <s v="CUST997"/>
    <s v="Neha Singh"/>
    <x v="2"/>
    <x v="0"/>
    <s v="Maharashtra"/>
    <x v="0"/>
    <x v="2"/>
    <x v="2"/>
    <n v="30779.14"/>
    <n v="5"/>
    <n v="0.04"/>
    <n v="2462.33"/>
  </r>
  <r>
    <s v="ORD2030"/>
    <x v="84"/>
    <s v="CUST599"/>
    <s v="Pooja Verma"/>
    <x v="1"/>
    <x v="5"/>
    <s v="Tamil Nadu"/>
    <x v="1"/>
    <x v="2"/>
    <x v="3"/>
    <n v="48579.199999999997"/>
    <n v="3"/>
    <n v="0.14000000000000001"/>
    <n v="1457.38"/>
  </r>
  <r>
    <s v="ORD1348"/>
    <x v="21"/>
    <s v="CUST953"/>
    <s v="Neha Singh"/>
    <x v="2"/>
    <x v="5"/>
    <s v="Tamil Nadu"/>
    <x v="1"/>
    <x v="0"/>
    <x v="5"/>
    <n v="14774.15"/>
    <n v="2"/>
    <n v="0.27"/>
    <n v="-517.1"/>
  </r>
  <r>
    <s v="ORD2170"/>
    <x v="264"/>
    <s v="CUST527"/>
    <s v="Neha Singh"/>
    <x v="2"/>
    <x v="4"/>
    <s v="Karnataka"/>
    <x v="3"/>
    <x v="2"/>
    <x v="1"/>
    <n v="23543.57"/>
    <n v="5"/>
    <n v="0.08"/>
    <n v="1412.61"/>
  </r>
  <r>
    <s v="ORD2398"/>
    <x v="125"/>
    <s v="CUST863"/>
    <s v="Ravi Kumar"/>
    <x v="1"/>
    <x v="3"/>
    <s v="Telangana"/>
    <x v="2"/>
    <x v="0"/>
    <x v="1"/>
    <n v="3586.01"/>
    <n v="10"/>
    <n v="0.27"/>
    <n v="-125.51"/>
  </r>
  <r>
    <s v="ORD2430"/>
    <x v="83"/>
    <s v="CUST644"/>
    <s v="Amit Sharma"/>
    <x v="1"/>
    <x v="4"/>
    <s v="Karnataka"/>
    <x v="3"/>
    <x v="0"/>
    <x v="2"/>
    <n v="11991.68"/>
    <n v="1"/>
    <n v="0.21"/>
    <n v="-59.96"/>
  </r>
  <r>
    <s v="ORD1069"/>
    <x v="310"/>
    <s v="CUST414"/>
    <s v="Ankit Roy"/>
    <x v="0"/>
    <x v="0"/>
    <s v="Maharashtra"/>
    <x v="0"/>
    <x v="2"/>
    <x v="2"/>
    <n v="4578.59"/>
    <n v="9"/>
    <n v="0.28999999999999998"/>
    <n v="-206.04"/>
  </r>
  <r>
    <s v="ORD1356"/>
    <x v="83"/>
    <s v="CUST131"/>
    <s v="Pooja Verma"/>
    <x v="2"/>
    <x v="5"/>
    <s v="Tamil Nadu"/>
    <x v="1"/>
    <x v="2"/>
    <x v="3"/>
    <n v="23074.57"/>
    <n v="9"/>
    <n v="0.18"/>
    <n v="230.75"/>
  </r>
  <r>
    <s v="ORD1590"/>
    <x v="307"/>
    <s v="CUST428"/>
    <s v="Amit Sharma"/>
    <x v="0"/>
    <x v="3"/>
    <s v="Telangana"/>
    <x v="2"/>
    <x v="0"/>
    <x v="4"/>
    <n v="12266.96"/>
    <n v="7"/>
    <n v="0.05"/>
    <n v="920.02"/>
  </r>
  <r>
    <s v="ORD1691"/>
    <x v="240"/>
    <s v="CUST396"/>
    <s v="Sneha Paul"/>
    <x v="0"/>
    <x v="5"/>
    <s v="Tamil Nadu"/>
    <x v="1"/>
    <x v="0"/>
    <x v="2"/>
    <n v="17098.36"/>
    <n v="5"/>
    <n v="0.2"/>
    <n v="0"/>
  </r>
  <r>
    <s v="ORD1912"/>
    <x v="0"/>
    <s v="CUST181"/>
    <s v="Ravi Kumar"/>
    <x v="1"/>
    <x v="2"/>
    <s v="Delhi"/>
    <x v="2"/>
    <x v="1"/>
    <x v="2"/>
    <n v="22927.38"/>
    <n v="4"/>
    <n v="0.11"/>
    <n v="1031.73"/>
  </r>
  <r>
    <s v="ORD2316"/>
    <x v="90"/>
    <s v="CUST928"/>
    <s v="Amit Sharma"/>
    <x v="2"/>
    <x v="2"/>
    <s v="Delhi"/>
    <x v="2"/>
    <x v="1"/>
    <x v="6"/>
    <n v="18222.7"/>
    <n v="10"/>
    <n v="0.21"/>
    <n v="-91.11"/>
  </r>
  <r>
    <s v="ORD2308"/>
    <x v="149"/>
    <s v="CUST386"/>
    <s v="Sneha Paul"/>
    <x v="0"/>
    <x v="3"/>
    <s v="Telangana"/>
    <x v="2"/>
    <x v="1"/>
    <x v="5"/>
    <n v="44782.43"/>
    <n v="7"/>
    <n v="0.04"/>
    <n v="3582.59"/>
  </r>
  <r>
    <s v="ORD1051"/>
    <x v="128"/>
    <s v="CUST610"/>
    <s v="Rahul Das"/>
    <x v="2"/>
    <x v="2"/>
    <s v="Delhi"/>
    <x v="2"/>
    <x v="2"/>
    <x v="4"/>
    <n v="19546.09"/>
    <n v="7"/>
    <n v="0.25"/>
    <n v="-488.65"/>
  </r>
  <r>
    <s v="ORD2062"/>
    <x v="49"/>
    <s v="CUST913"/>
    <s v="Ankit Roy"/>
    <x v="0"/>
    <x v="1"/>
    <s v="West Bengal"/>
    <x v="1"/>
    <x v="2"/>
    <x v="5"/>
    <n v="20278.07"/>
    <n v="10"/>
    <n v="0.18"/>
    <n v="202.78"/>
  </r>
  <r>
    <s v="ORD1529"/>
    <x v="2"/>
    <s v="CUST540"/>
    <s v="Rahul Das"/>
    <x v="1"/>
    <x v="2"/>
    <s v="Delhi"/>
    <x v="2"/>
    <x v="1"/>
    <x v="1"/>
    <n v="16538.400000000001"/>
    <n v="1"/>
    <n v="0.21"/>
    <n v="-82.69"/>
  </r>
  <r>
    <s v="ORD2379"/>
    <x v="191"/>
    <s v="CUST618"/>
    <s v="Sneha Paul"/>
    <x v="0"/>
    <x v="2"/>
    <s v="Delhi"/>
    <x v="2"/>
    <x v="0"/>
    <x v="3"/>
    <n v="8952.6"/>
    <n v="9"/>
    <n v="0.26"/>
    <n v="-268.58"/>
  </r>
  <r>
    <s v="ORD1342"/>
    <x v="194"/>
    <s v="CUST394"/>
    <s v="Ankit Roy"/>
    <x v="1"/>
    <x v="4"/>
    <s v="Karnataka"/>
    <x v="3"/>
    <x v="0"/>
    <x v="6"/>
    <n v="14456.14"/>
    <n v="9"/>
    <n v="0.23"/>
    <n v="-216.84"/>
  </r>
  <r>
    <s v="ORD1861"/>
    <x v="43"/>
    <s v="CUST381"/>
    <s v="Ankit Roy"/>
    <x v="1"/>
    <x v="1"/>
    <s v="West Bengal"/>
    <x v="1"/>
    <x v="2"/>
    <x v="6"/>
    <n v="33449.15"/>
    <n v="8"/>
    <n v="0.15"/>
    <n v="836.23"/>
  </r>
  <r>
    <s v="ORD2254"/>
    <x v="286"/>
    <s v="CUST178"/>
    <s v="Amit Sharma"/>
    <x v="1"/>
    <x v="1"/>
    <s v="West Bengal"/>
    <x v="1"/>
    <x v="1"/>
    <x v="2"/>
    <n v="24553.33"/>
    <n v="7"/>
    <n v="0.12"/>
    <n v="982.13"/>
  </r>
  <r>
    <s v="ORD1095"/>
    <x v="188"/>
    <s v="CUST819"/>
    <s v="Amit Sharma"/>
    <x v="2"/>
    <x v="3"/>
    <s v="Telangana"/>
    <x v="2"/>
    <x v="0"/>
    <x v="4"/>
    <n v="15301.23"/>
    <n v="5"/>
    <n v="0.2"/>
    <n v="0"/>
  </r>
  <r>
    <s v="ORD1547"/>
    <x v="100"/>
    <s v="CUST610"/>
    <s v="Amit Sharma"/>
    <x v="0"/>
    <x v="5"/>
    <s v="Tamil Nadu"/>
    <x v="1"/>
    <x v="2"/>
    <x v="1"/>
    <n v="34779.32"/>
    <n v="5"/>
    <n v="0.3"/>
    <n v="-1738.97"/>
  </r>
  <r>
    <s v="ORD2210"/>
    <x v="177"/>
    <s v="CUST580"/>
    <s v="Ravi Kumar"/>
    <x v="0"/>
    <x v="2"/>
    <s v="Delhi"/>
    <x v="2"/>
    <x v="2"/>
    <x v="6"/>
    <n v="11055.09"/>
    <n v="9"/>
    <n v="0.11"/>
    <n v="497.48"/>
  </r>
  <r>
    <s v="ORD1077"/>
    <x v="294"/>
    <s v="CUST732"/>
    <s v="Sneha Paul"/>
    <x v="0"/>
    <x v="4"/>
    <s v="Karnataka"/>
    <x v="3"/>
    <x v="2"/>
    <x v="2"/>
    <n v="14001.34"/>
    <n v="8"/>
    <n v="0.06"/>
    <n v="980.09"/>
  </r>
  <r>
    <s v="ORD1457"/>
    <x v="258"/>
    <s v="CUST717"/>
    <s v="Amit Sharma"/>
    <x v="0"/>
    <x v="4"/>
    <s v="Karnataka"/>
    <x v="3"/>
    <x v="0"/>
    <x v="6"/>
    <n v="45868.53"/>
    <n v="7"/>
    <n v="0.18"/>
    <n v="458.69"/>
  </r>
  <r>
    <s v="ORD1608"/>
    <x v="255"/>
    <s v="CUST104"/>
    <s v="Rahul Das"/>
    <x v="1"/>
    <x v="2"/>
    <s v="Delhi"/>
    <x v="2"/>
    <x v="0"/>
    <x v="1"/>
    <n v="43807.75"/>
    <n v="4"/>
    <n v="0.03"/>
    <n v="3723.66"/>
  </r>
  <r>
    <s v="ORD2414"/>
    <x v="274"/>
    <s v="CUST696"/>
    <s v="Pooja Verma"/>
    <x v="2"/>
    <x v="5"/>
    <s v="Tamil Nadu"/>
    <x v="1"/>
    <x v="1"/>
    <x v="5"/>
    <n v="13448.28"/>
    <n v="8"/>
    <n v="0.2"/>
    <n v="0"/>
  </r>
  <r>
    <s v="ORD1168"/>
    <x v="109"/>
    <s v="CUST743"/>
    <s v="Ankit Roy"/>
    <x v="0"/>
    <x v="3"/>
    <s v="Telangana"/>
    <x v="2"/>
    <x v="2"/>
    <x v="4"/>
    <n v="25500.39"/>
    <n v="8"/>
    <n v="0.03"/>
    <n v="2167.5300000000002"/>
  </r>
  <r>
    <s v="ORD1399"/>
    <x v="308"/>
    <s v="CUST765"/>
    <s v="Sneha Paul"/>
    <x v="1"/>
    <x v="5"/>
    <s v="Tamil Nadu"/>
    <x v="1"/>
    <x v="0"/>
    <x v="5"/>
    <n v="7680.07"/>
    <n v="10"/>
    <n v="0.25"/>
    <n v="-192"/>
  </r>
  <r>
    <s v="ORD1501"/>
    <x v="103"/>
    <s v="CUST381"/>
    <s v="Neha Singh"/>
    <x v="1"/>
    <x v="2"/>
    <s v="Delhi"/>
    <x v="2"/>
    <x v="0"/>
    <x v="6"/>
    <n v="26977.59"/>
    <n v="9"/>
    <n v="7.0000000000000007E-2"/>
    <n v="1753.54"/>
  </r>
  <r>
    <s v="ORD1689"/>
    <x v="63"/>
    <s v="CUST506"/>
    <s v="Ravi Kumar"/>
    <x v="0"/>
    <x v="5"/>
    <s v="Tamil Nadu"/>
    <x v="1"/>
    <x v="0"/>
    <x v="5"/>
    <n v="29740.76"/>
    <n v="10"/>
    <n v="7.0000000000000007E-2"/>
    <n v="1933.15"/>
  </r>
  <r>
    <s v="ORD2004"/>
    <x v="164"/>
    <s v="CUST368"/>
    <s v="Pooja Verma"/>
    <x v="1"/>
    <x v="5"/>
    <s v="Tamil Nadu"/>
    <x v="1"/>
    <x v="2"/>
    <x v="4"/>
    <n v="45314.86"/>
    <n v="3"/>
    <n v="0.08"/>
    <n v="2718.89"/>
  </r>
  <r>
    <s v="ORD2248"/>
    <x v="155"/>
    <s v="CUST146"/>
    <s v="Neha Singh"/>
    <x v="2"/>
    <x v="1"/>
    <s v="West Bengal"/>
    <x v="1"/>
    <x v="2"/>
    <x v="4"/>
    <n v="11230.38"/>
    <n v="10"/>
    <n v="0.2"/>
    <n v="0"/>
  </r>
  <r>
    <s v="ORD1079"/>
    <x v="268"/>
    <s v="CUST731"/>
    <s v="Amit Sharma"/>
    <x v="1"/>
    <x v="1"/>
    <s v="West Bengal"/>
    <x v="1"/>
    <x v="0"/>
    <x v="5"/>
    <n v="27650.91"/>
    <n v="2"/>
    <n v="0.24"/>
    <n v="-553.02"/>
  </r>
  <r>
    <s v="ORD2157"/>
    <x v="328"/>
    <s v="CUST632"/>
    <s v="Ravi Kumar"/>
    <x v="0"/>
    <x v="3"/>
    <s v="Telangana"/>
    <x v="2"/>
    <x v="2"/>
    <x v="0"/>
    <n v="22860.38"/>
    <n v="10"/>
    <n v="0.23"/>
    <n v="-342.91"/>
  </r>
  <r>
    <s v="ORD2454"/>
    <x v="255"/>
    <s v="CUST470"/>
    <s v="Amit Sharma"/>
    <x v="2"/>
    <x v="5"/>
    <s v="Tamil Nadu"/>
    <x v="1"/>
    <x v="1"/>
    <x v="6"/>
    <n v="29626.51"/>
    <n v="2"/>
    <n v="0.01"/>
    <n v="2814.52"/>
  </r>
  <r>
    <s v="ORD1129"/>
    <x v="208"/>
    <s v="CUST815"/>
    <s v="Pooja Verma"/>
    <x v="2"/>
    <x v="4"/>
    <s v="Karnataka"/>
    <x v="3"/>
    <x v="1"/>
    <x v="4"/>
    <n v="25141.32"/>
    <n v="6"/>
    <n v="0.21"/>
    <n v="-125.71"/>
  </r>
  <r>
    <s v="ORD2167"/>
    <x v="30"/>
    <s v="CUST189"/>
    <s v="Rahul Das"/>
    <x v="0"/>
    <x v="5"/>
    <s v="Tamil Nadu"/>
    <x v="1"/>
    <x v="1"/>
    <x v="4"/>
    <n v="23066.95"/>
    <n v="4"/>
    <n v="0.27"/>
    <n v="-807.34"/>
  </r>
  <r>
    <s v="ORD2358"/>
    <x v="148"/>
    <s v="CUST942"/>
    <s v="Pooja Verma"/>
    <x v="2"/>
    <x v="2"/>
    <s v="Delhi"/>
    <x v="2"/>
    <x v="2"/>
    <x v="0"/>
    <n v="43131.22"/>
    <n v="8"/>
    <n v="0.02"/>
    <n v="3881.81"/>
  </r>
  <r>
    <s v="ORD1260"/>
    <x v="262"/>
    <s v="CUST276"/>
    <s v="Ravi Kumar"/>
    <x v="0"/>
    <x v="4"/>
    <s v="Karnataka"/>
    <x v="3"/>
    <x v="2"/>
    <x v="6"/>
    <n v="19762.990000000002"/>
    <n v="3"/>
    <n v="0.25"/>
    <n v="-494.07"/>
  </r>
  <r>
    <s v="ORD2114"/>
    <x v="68"/>
    <s v="CUST887"/>
    <s v="Pooja Verma"/>
    <x v="1"/>
    <x v="5"/>
    <s v="Tamil Nadu"/>
    <x v="1"/>
    <x v="0"/>
    <x v="3"/>
    <n v="24269.02"/>
    <n v="2"/>
    <n v="0.24"/>
    <n v="-485.38"/>
  </r>
  <r>
    <s v="ORD2192"/>
    <x v="149"/>
    <s v="CUST714"/>
    <s v="Amit Sharma"/>
    <x v="0"/>
    <x v="5"/>
    <s v="Tamil Nadu"/>
    <x v="1"/>
    <x v="2"/>
    <x v="5"/>
    <n v="29802"/>
    <n v="3"/>
    <n v="0.01"/>
    <n v="2831.19"/>
  </r>
  <r>
    <s v="ORD2486"/>
    <x v="329"/>
    <s v="CUST405"/>
    <s v="Pooja Verma"/>
    <x v="0"/>
    <x v="0"/>
    <s v="Maharashtra"/>
    <x v="0"/>
    <x v="0"/>
    <x v="4"/>
    <n v="44147.1"/>
    <n v="5"/>
    <n v="0.01"/>
    <n v="4193.97"/>
  </r>
  <r>
    <s v="ORD1402"/>
    <x v="171"/>
    <s v="CUST484"/>
    <s v="Rahul Das"/>
    <x v="2"/>
    <x v="3"/>
    <s v="Telangana"/>
    <x v="2"/>
    <x v="1"/>
    <x v="1"/>
    <n v="24692.71"/>
    <n v="6"/>
    <n v="0.09"/>
    <n v="1358.1"/>
  </r>
  <r>
    <s v="ORD1544"/>
    <x v="88"/>
    <s v="CUST920"/>
    <s v="Sneha Paul"/>
    <x v="0"/>
    <x v="2"/>
    <s v="Delhi"/>
    <x v="2"/>
    <x v="2"/>
    <x v="6"/>
    <n v="9456.69"/>
    <n v="10"/>
    <n v="0.24"/>
    <n v="-189.13"/>
  </r>
  <r>
    <s v="ORD1944"/>
    <x v="102"/>
    <s v="CUST757"/>
    <s v="Ravi Kumar"/>
    <x v="1"/>
    <x v="0"/>
    <s v="Maharashtra"/>
    <x v="0"/>
    <x v="0"/>
    <x v="5"/>
    <n v="15672.43"/>
    <n v="6"/>
    <n v="0.12"/>
    <n v="626.9"/>
  </r>
  <r>
    <s v="ORD2105"/>
    <x v="93"/>
    <s v="CUST442"/>
    <s v="Pooja Verma"/>
    <x v="2"/>
    <x v="2"/>
    <s v="Delhi"/>
    <x v="2"/>
    <x v="1"/>
    <x v="3"/>
    <n v="32529.82"/>
    <n v="2"/>
    <n v="0.01"/>
    <n v="3090.33"/>
  </r>
  <r>
    <s v="ORD1841"/>
    <x v="124"/>
    <s v="CUST414"/>
    <s v="Amit Sharma"/>
    <x v="2"/>
    <x v="2"/>
    <s v="Delhi"/>
    <x v="2"/>
    <x v="0"/>
    <x v="5"/>
    <n v="39150.94"/>
    <n v="6"/>
    <n v="0.1"/>
    <n v="1957.55"/>
  </r>
  <r>
    <s v="ORD1992"/>
    <x v="330"/>
    <s v="CUST804"/>
    <s v="Pooja Verma"/>
    <x v="0"/>
    <x v="3"/>
    <s v="Telangana"/>
    <x v="2"/>
    <x v="0"/>
    <x v="4"/>
    <n v="5978.47"/>
    <n v="3"/>
    <n v="0.21"/>
    <n v="-29.89"/>
  </r>
  <r>
    <s v="ORD1993"/>
    <x v="140"/>
    <s v="CUST876"/>
    <s v="Amit Sharma"/>
    <x v="0"/>
    <x v="2"/>
    <s v="Delhi"/>
    <x v="2"/>
    <x v="0"/>
    <x v="2"/>
    <n v="43240.82"/>
    <n v="7"/>
    <n v="0.18"/>
    <n v="432.41"/>
  </r>
  <r>
    <s v="ORD2178"/>
    <x v="111"/>
    <s v="CUST599"/>
    <s v="Amit Sharma"/>
    <x v="1"/>
    <x v="3"/>
    <s v="Telangana"/>
    <x v="2"/>
    <x v="0"/>
    <x v="3"/>
    <n v="34920.47"/>
    <n v="3"/>
    <n v="0.27"/>
    <n v="-1222.22"/>
  </r>
  <r>
    <s v="ORD1674"/>
    <x v="331"/>
    <s v="CUST120"/>
    <s v="Neha Singh"/>
    <x v="2"/>
    <x v="2"/>
    <s v="Delhi"/>
    <x v="2"/>
    <x v="0"/>
    <x v="5"/>
    <n v="42112"/>
    <n v="7"/>
    <n v="0.17"/>
    <n v="631.67999999999995"/>
  </r>
  <r>
    <s v="ORD2172"/>
    <x v="266"/>
    <s v="CUST454"/>
    <s v="Ravi Kumar"/>
    <x v="0"/>
    <x v="4"/>
    <s v="Karnataka"/>
    <x v="3"/>
    <x v="1"/>
    <x v="2"/>
    <n v="9769.5400000000009"/>
    <n v="6"/>
    <n v="0.22"/>
    <n v="-97.7"/>
  </r>
  <r>
    <s v="ORD2232"/>
    <x v="64"/>
    <s v="CUST459"/>
    <s v="Amit Sharma"/>
    <x v="2"/>
    <x v="5"/>
    <s v="Tamil Nadu"/>
    <x v="1"/>
    <x v="0"/>
    <x v="0"/>
    <n v="17353.18"/>
    <n v="3"/>
    <n v="0.22"/>
    <n v="-173.53"/>
  </r>
  <r>
    <s v="ORD1301"/>
    <x v="267"/>
    <s v="CUST448"/>
    <s v="Ravi Kumar"/>
    <x v="2"/>
    <x v="5"/>
    <s v="Tamil Nadu"/>
    <x v="1"/>
    <x v="2"/>
    <x v="1"/>
    <n v="22752.89"/>
    <n v="1"/>
    <n v="7.0000000000000007E-2"/>
    <n v="1478.94"/>
  </r>
  <r>
    <s v="ORD1748"/>
    <x v="68"/>
    <s v="CUST705"/>
    <s v="Ravi Kumar"/>
    <x v="0"/>
    <x v="5"/>
    <s v="Tamil Nadu"/>
    <x v="1"/>
    <x v="0"/>
    <x v="4"/>
    <n v="5660.88"/>
    <n v="1"/>
    <n v="0.05"/>
    <n v="424.57"/>
  </r>
  <r>
    <s v="ORD2441"/>
    <x v="116"/>
    <s v="CUST867"/>
    <s v="Rahul Das"/>
    <x v="0"/>
    <x v="4"/>
    <s v="Karnataka"/>
    <x v="3"/>
    <x v="0"/>
    <x v="3"/>
    <n v="49909.06"/>
    <n v="6"/>
    <n v="0.24"/>
    <n v="-998.18"/>
  </r>
  <r>
    <s v="ORD1819"/>
    <x v="299"/>
    <s v="CUST816"/>
    <s v="Amit Sharma"/>
    <x v="2"/>
    <x v="0"/>
    <s v="Maharashtra"/>
    <x v="0"/>
    <x v="1"/>
    <x v="4"/>
    <n v="37587.94"/>
    <n v="2"/>
    <n v="0.22"/>
    <n v="-375.88"/>
  </r>
  <r>
    <s v="ORD2198"/>
    <x v="252"/>
    <s v="CUST599"/>
    <s v="Ravi Kumar"/>
    <x v="1"/>
    <x v="3"/>
    <s v="Telangana"/>
    <x v="2"/>
    <x v="2"/>
    <x v="6"/>
    <n v="29157.599999999999"/>
    <n v="5"/>
    <n v="0.14000000000000001"/>
    <n v="874.73"/>
  </r>
  <r>
    <s v="ORD2469"/>
    <x v="307"/>
    <s v="CUST505"/>
    <s v="Ankit Roy"/>
    <x v="0"/>
    <x v="4"/>
    <s v="Karnataka"/>
    <x v="3"/>
    <x v="1"/>
    <x v="0"/>
    <n v="9935.36"/>
    <n v="10"/>
    <n v="0.2"/>
    <n v="0"/>
  </r>
  <r>
    <s v="ORD1454"/>
    <x v="122"/>
    <s v="CUST360"/>
    <s v="Sneha Paul"/>
    <x v="0"/>
    <x v="2"/>
    <s v="Delhi"/>
    <x v="2"/>
    <x v="2"/>
    <x v="2"/>
    <n v="44574.71"/>
    <n v="1"/>
    <n v="0.28999999999999998"/>
    <n v="-2005.86"/>
  </r>
  <r>
    <s v="ORD1132"/>
    <x v="137"/>
    <s v="CUST237"/>
    <s v="Neha Singh"/>
    <x v="2"/>
    <x v="0"/>
    <s v="Maharashtra"/>
    <x v="0"/>
    <x v="0"/>
    <x v="1"/>
    <n v="5000.88"/>
    <n v="10"/>
    <n v="0.06"/>
    <n v="350.06"/>
  </r>
  <r>
    <s v="ORD2348"/>
    <x v="70"/>
    <s v="CUST341"/>
    <s v="Ravi Kumar"/>
    <x v="1"/>
    <x v="4"/>
    <s v="Karnataka"/>
    <x v="3"/>
    <x v="1"/>
    <x v="2"/>
    <n v="15700.73"/>
    <n v="3"/>
    <n v="0.28999999999999998"/>
    <n v="-706.53"/>
  </r>
  <r>
    <s v="ORD1775"/>
    <x v="121"/>
    <s v="CUST199"/>
    <s v="Ravi Kumar"/>
    <x v="1"/>
    <x v="3"/>
    <s v="Telangana"/>
    <x v="2"/>
    <x v="2"/>
    <x v="0"/>
    <n v="7799.43"/>
    <n v="1"/>
    <n v="0.02"/>
    <n v="701.95"/>
  </r>
  <r>
    <s v="ORD1037"/>
    <x v="156"/>
    <s v="CUST467"/>
    <s v="Ravi Kumar"/>
    <x v="1"/>
    <x v="2"/>
    <s v="Delhi"/>
    <x v="2"/>
    <x v="1"/>
    <x v="1"/>
    <n v="42392.57"/>
    <n v="4"/>
    <n v="0.1"/>
    <n v="2119.63"/>
  </r>
  <r>
    <s v="ORD1117"/>
    <x v="275"/>
    <s v="CUST597"/>
    <s v="Neha Singh"/>
    <x v="2"/>
    <x v="0"/>
    <s v="Maharashtra"/>
    <x v="0"/>
    <x v="1"/>
    <x v="4"/>
    <n v="1657.5"/>
    <n v="2"/>
    <n v="0.06"/>
    <n v="116.03"/>
  </r>
  <r>
    <s v="ORD1133"/>
    <x v="292"/>
    <s v="CUST266"/>
    <s v="Ravi Kumar"/>
    <x v="1"/>
    <x v="1"/>
    <s v="West Bengal"/>
    <x v="1"/>
    <x v="0"/>
    <x v="1"/>
    <n v="35498.25"/>
    <n v="1"/>
    <n v="0.16"/>
    <n v="709.97"/>
  </r>
  <r>
    <s v="ORD1598"/>
    <x v="198"/>
    <s v="CUST487"/>
    <s v="Ravi Kumar"/>
    <x v="1"/>
    <x v="1"/>
    <s v="West Bengal"/>
    <x v="1"/>
    <x v="2"/>
    <x v="6"/>
    <n v="6307.2"/>
    <n v="5"/>
    <n v="0.14000000000000001"/>
    <n v="189.22"/>
  </r>
  <r>
    <s v="ORD2221"/>
    <x v="52"/>
    <s v="CUST345"/>
    <s v="Sneha Paul"/>
    <x v="1"/>
    <x v="0"/>
    <s v="Maharashtra"/>
    <x v="0"/>
    <x v="1"/>
    <x v="4"/>
    <n v="24841.33"/>
    <n v="2"/>
    <n v="0.21"/>
    <n v="-124.21"/>
  </r>
  <r>
    <s v="ORD1610"/>
    <x v="53"/>
    <s v="CUST880"/>
    <s v="Sneha Paul"/>
    <x v="2"/>
    <x v="5"/>
    <s v="Tamil Nadu"/>
    <x v="1"/>
    <x v="1"/>
    <x v="6"/>
    <n v="33486.92"/>
    <n v="8"/>
    <n v="0.16"/>
    <n v="669.74"/>
  </r>
  <r>
    <s v="ORD2022"/>
    <x v="6"/>
    <s v="CUST263"/>
    <s v="Ravi Kumar"/>
    <x v="2"/>
    <x v="2"/>
    <s v="Delhi"/>
    <x v="2"/>
    <x v="2"/>
    <x v="6"/>
    <n v="27698.11"/>
    <n v="1"/>
    <n v="0.08"/>
    <n v="1661.89"/>
  </r>
  <r>
    <s v="ORD2345"/>
    <x v="272"/>
    <s v="CUST614"/>
    <s v="Ankit Roy"/>
    <x v="1"/>
    <x v="5"/>
    <s v="Tamil Nadu"/>
    <x v="1"/>
    <x v="2"/>
    <x v="5"/>
    <n v="31676.89"/>
    <n v="5"/>
    <n v="0.12"/>
    <n v="1267.08"/>
  </r>
  <r>
    <s v="ORD2497"/>
    <x v="305"/>
    <s v="CUST412"/>
    <s v="Sneha Paul"/>
    <x v="2"/>
    <x v="2"/>
    <s v="Delhi"/>
    <x v="2"/>
    <x v="0"/>
    <x v="6"/>
    <n v="30169.16"/>
    <n v="6"/>
    <n v="0.09"/>
    <n v="1659.3"/>
  </r>
  <r>
    <s v="ORD1443"/>
    <x v="315"/>
    <s v="CUST235"/>
    <s v="Sneha Paul"/>
    <x v="0"/>
    <x v="5"/>
    <s v="Tamil Nadu"/>
    <x v="1"/>
    <x v="0"/>
    <x v="3"/>
    <n v="37924.370000000003"/>
    <n v="2"/>
    <n v="0.13"/>
    <n v="1327.35"/>
  </r>
  <r>
    <s v="ORD2018"/>
    <x v="227"/>
    <s v="CUST998"/>
    <s v="Ravi Kumar"/>
    <x v="0"/>
    <x v="3"/>
    <s v="Telangana"/>
    <x v="2"/>
    <x v="2"/>
    <x v="5"/>
    <n v="43459.13"/>
    <n v="2"/>
    <n v="0.14000000000000001"/>
    <n v="1303.77"/>
  </r>
  <r>
    <s v="ORD1959"/>
    <x v="20"/>
    <s v="CUST434"/>
    <s v="Ankit Roy"/>
    <x v="0"/>
    <x v="4"/>
    <s v="Karnataka"/>
    <x v="3"/>
    <x v="0"/>
    <x v="3"/>
    <n v="7360.66"/>
    <n v="9"/>
    <n v="0.27"/>
    <n v="-257.62"/>
  </r>
  <r>
    <s v="ORD1931"/>
    <x v="219"/>
    <s v="CUST587"/>
    <s v="Rahul Das"/>
    <x v="1"/>
    <x v="0"/>
    <s v="Maharashtra"/>
    <x v="0"/>
    <x v="2"/>
    <x v="3"/>
    <n v="3386.19"/>
    <n v="10"/>
    <n v="0.03"/>
    <n v="287.83"/>
  </r>
  <r>
    <s v="ORD1642"/>
    <x v="215"/>
    <s v="CUST703"/>
    <s v="Ravi Kumar"/>
    <x v="0"/>
    <x v="0"/>
    <s v="Maharashtra"/>
    <x v="0"/>
    <x v="2"/>
    <x v="5"/>
    <n v="34498.43"/>
    <n v="5"/>
    <n v="0.23"/>
    <n v="-517.48"/>
  </r>
  <r>
    <s v="ORD1945"/>
    <x v="48"/>
    <s v="CUST513"/>
    <s v="Rahul Das"/>
    <x v="2"/>
    <x v="2"/>
    <s v="Delhi"/>
    <x v="2"/>
    <x v="0"/>
    <x v="5"/>
    <n v="48757.41"/>
    <n v="10"/>
    <n v="0.21"/>
    <n v="-243.79"/>
  </r>
  <r>
    <s v="ORD2137"/>
    <x v="21"/>
    <s v="CUST203"/>
    <s v="Rahul Das"/>
    <x v="0"/>
    <x v="0"/>
    <s v="Maharashtra"/>
    <x v="0"/>
    <x v="2"/>
    <x v="5"/>
    <n v="7572.23"/>
    <n v="7"/>
    <n v="0.22"/>
    <n v="-75.72"/>
  </r>
  <r>
    <s v="ORD2364"/>
    <x v="332"/>
    <s v="CUST644"/>
    <s v="Sneha Paul"/>
    <x v="0"/>
    <x v="5"/>
    <s v="Tamil Nadu"/>
    <x v="1"/>
    <x v="1"/>
    <x v="2"/>
    <n v="22973.46"/>
    <n v="1"/>
    <n v="0.28000000000000003"/>
    <n v="-918.94"/>
  </r>
  <r>
    <s v="ORD1180"/>
    <x v="5"/>
    <s v="CUST994"/>
    <s v="Ravi Kumar"/>
    <x v="2"/>
    <x v="0"/>
    <s v="Maharashtra"/>
    <x v="0"/>
    <x v="2"/>
    <x v="1"/>
    <n v="40890.18"/>
    <n v="9"/>
    <n v="0.04"/>
    <n v="3271.21"/>
  </r>
  <r>
    <s v="ORD1231"/>
    <x v="333"/>
    <s v="CUST185"/>
    <s v="Ravi Kumar"/>
    <x v="2"/>
    <x v="0"/>
    <s v="Maharashtra"/>
    <x v="0"/>
    <x v="2"/>
    <x v="0"/>
    <n v="45752"/>
    <n v="2"/>
    <n v="0.13"/>
    <n v="1601.32"/>
  </r>
  <r>
    <s v="ORD1277"/>
    <x v="0"/>
    <s v="CUST909"/>
    <s v="Amit Sharma"/>
    <x v="2"/>
    <x v="3"/>
    <s v="Telangana"/>
    <x v="2"/>
    <x v="0"/>
    <x v="1"/>
    <n v="15271.99"/>
    <n v="8"/>
    <n v="0.1"/>
    <n v="763.6"/>
  </r>
  <r>
    <s v="ORD2012"/>
    <x v="292"/>
    <s v="CUST942"/>
    <s v="Amit Sharma"/>
    <x v="2"/>
    <x v="3"/>
    <s v="Telangana"/>
    <x v="2"/>
    <x v="1"/>
    <x v="6"/>
    <n v="33939.79"/>
    <n v="7"/>
    <n v="0.27"/>
    <n v="-1187.8900000000001"/>
  </r>
  <r>
    <s v="ORD2138"/>
    <x v="136"/>
    <s v="CUST975"/>
    <s v="Sneha Paul"/>
    <x v="0"/>
    <x v="4"/>
    <s v="Karnataka"/>
    <x v="3"/>
    <x v="0"/>
    <x v="0"/>
    <n v="45218.45"/>
    <n v="2"/>
    <n v="0.04"/>
    <n v="3617.48"/>
  </r>
  <r>
    <s v="ORD1000"/>
    <x v="299"/>
    <s v="CUST564"/>
    <s v="Pooja Verma"/>
    <x v="2"/>
    <x v="5"/>
    <s v="Tamil Nadu"/>
    <x v="1"/>
    <x v="1"/>
    <x v="4"/>
    <n v="11167.08"/>
    <n v="6"/>
    <n v="0.12"/>
    <n v="446.68"/>
  </r>
  <r>
    <s v="ORD1233"/>
    <x v="219"/>
    <s v="CUST697"/>
    <s v="Pooja Verma"/>
    <x v="0"/>
    <x v="2"/>
    <s v="Delhi"/>
    <x v="2"/>
    <x v="2"/>
    <x v="0"/>
    <n v="6639.16"/>
    <n v="7"/>
    <n v="0.13"/>
    <n v="232.37"/>
  </r>
  <r>
    <s v="ORD1153"/>
    <x v="276"/>
    <s v="CUST772"/>
    <s v="Ravi Kumar"/>
    <x v="0"/>
    <x v="1"/>
    <s v="West Bengal"/>
    <x v="1"/>
    <x v="2"/>
    <x v="1"/>
    <n v="21404.12"/>
    <n v="3"/>
    <n v="0.13"/>
    <n v="749.14"/>
  </r>
  <r>
    <s v="ORD1305"/>
    <x v="197"/>
    <s v="CUST338"/>
    <s v="Amit Sharma"/>
    <x v="0"/>
    <x v="5"/>
    <s v="Tamil Nadu"/>
    <x v="1"/>
    <x v="0"/>
    <x v="5"/>
    <n v="27153.7"/>
    <n v="1"/>
    <n v="0.22"/>
    <n v="-271.54000000000002"/>
  </r>
  <r>
    <s v="ORD1466"/>
    <x v="334"/>
    <s v="CUST241"/>
    <s v="Ankit Roy"/>
    <x v="1"/>
    <x v="0"/>
    <s v="Maharashtra"/>
    <x v="0"/>
    <x v="1"/>
    <x v="0"/>
    <n v="48360.31"/>
    <n v="7"/>
    <n v="0.1"/>
    <n v="2418.02"/>
  </r>
  <r>
    <s v="ORD1528"/>
    <x v="211"/>
    <s v="CUST179"/>
    <s v="Rahul Das"/>
    <x v="2"/>
    <x v="5"/>
    <s v="Tamil Nadu"/>
    <x v="1"/>
    <x v="0"/>
    <x v="3"/>
    <n v="8696.82"/>
    <n v="7"/>
    <n v="0.22"/>
    <n v="-86.97"/>
  </r>
  <r>
    <s v="ORD1606"/>
    <x v="159"/>
    <s v="CUST585"/>
    <s v="Neha Singh"/>
    <x v="2"/>
    <x v="0"/>
    <s v="Maharashtra"/>
    <x v="0"/>
    <x v="1"/>
    <x v="4"/>
    <n v="1125.04"/>
    <n v="6"/>
    <n v="0.12"/>
    <n v="45"/>
  </r>
  <r>
    <s v="ORD1658"/>
    <x v="208"/>
    <s v="CUST574"/>
    <s v="Ankit Roy"/>
    <x v="2"/>
    <x v="0"/>
    <s v="Maharashtra"/>
    <x v="0"/>
    <x v="0"/>
    <x v="2"/>
    <n v="29676.81"/>
    <n v="5"/>
    <n v="0.15"/>
    <n v="741.92"/>
  </r>
  <r>
    <s v="ORD1755"/>
    <x v="131"/>
    <s v="CUST983"/>
    <s v="Amit Sharma"/>
    <x v="0"/>
    <x v="0"/>
    <s v="Maharashtra"/>
    <x v="0"/>
    <x v="1"/>
    <x v="3"/>
    <n v="35435.81"/>
    <n v="7"/>
    <n v="0.17"/>
    <n v="531.54"/>
  </r>
  <r>
    <s v="ORD2150"/>
    <x v="199"/>
    <s v="CUST270"/>
    <s v="Rahul Das"/>
    <x v="0"/>
    <x v="2"/>
    <s v="Delhi"/>
    <x v="2"/>
    <x v="1"/>
    <x v="4"/>
    <n v="47836.87"/>
    <n v="2"/>
    <n v="0.19"/>
    <n v="239.18"/>
  </r>
  <r>
    <s v="ORD1423"/>
    <x v="115"/>
    <s v="CUST543"/>
    <s v="Rahul Das"/>
    <x v="0"/>
    <x v="0"/>
    <s v="Maharashtra"/>
    <x v="0"/>
    <x v="2"/>
    <x v="4"/>
    <n v="18731.810000000001"/>
    <n v="8"/>
    <n v="0.13"/>
    <n v="655.61"/>
  </r>
  <r>
    <s v="ORD1510"/>
    <x v="216"/>
    <s v="CUST186"/>
    <s v="Ravi Kumar"/>
    <x v="0"/>
    <x v="4"/>
    <s v="Karnataka"/>
    <x v="3"/>
    <x v="2"/>
    <x v="5"/>
    <n v="35405.26"/>
    <n v="9"/>
    <n v="0.24"/>
    <n v="-708.11"/>
  </r>
  <r>
    <s v="ORD1953"/>
    <x v="137"/>
    <s v="CUST912"/>
    <s v="Amit Sharma"/>
    <x v="0"/>
    <x v="1"/>
    <s v="West Bengal"/>
    <x v="1"/>
    <x v="2"/>
    <x v="3"/>
    <n v="8415.67"/>
    <n v="3"/>
    <n v="0.13"/>
    <n v="294.55"/>
  </r>
  <r>
    <s v="ORD2058"/>
    <x v="106"/>
    <s v="CUST151"/>
    <s v="Pooja Verma"/>
    <x v="0"/>
    <x v="3"/>
    <s v="Telangana"/>
    <x v="2"/>
    <x v="2"/>
    <x v="4"/>
    <n v="13029.38"/>
    <n v="6"/>
    <n v="0.22"/>
    <n v="-130.29"/>
  </r>
  <r>
    <s v="ORD1651"/>
    <x v="234"/>
    <s v="CUST524"/>
    <s v="Amit Sharma"/>
    <x v="0"/>
    <x v="4"/>
    <s v="Karnataka"/>
    <x v="3"/>
    <x v="1"/>
    <x v="1"/>
    <n v="37230.870000000003"/>
    <n v="2"/>
    <n v="0.16"/>
    <n v="744.62"/>
  </r>
  <r>
    <s v="ORD2032"/>
    <x v="296"/>
    <s v="CUST634"/>
    <s v="Ravi Kumar"/>
    <x v="1"/>
    <x v="3"/>
    <s v="Telangana"/>
    <x v="2"/>
    <x v="0"/>
    <x v="1"/>
    <n v="2513.6799999999998"/>
    <n v="7"/>
    <n v="0.09"/>
    <n v="138.25"/>
  </r>
  <r>
    <s v="ORD2463"/>
    <x v="67"/>
    <s v="CUST386"/>
    <s v="Ravi Kumar"/>
    <x v="2"/>
    <x v="5"/>
    <s v="Tamil Nadu"/>
    <x v="1"/>
    <x v="0"/>
    <x v="4"/>
    <n v="36997.43"/>
    <n v="3"/>
    <n v="0.16"/>
    <n v="739.95"/>
  </r>
  <r>
    <s v="ORD2168"/>
    <x v="109"/>
    <s v="CUST530"/>
    <s v="Amit Sharma"/>
    <x v="1"/>
    <x v="1"/>
    <s v="West Bengal"/>
    <x v="1"/>
    <x v="2"/>
    <x v="6"/>
    <n v="18282.189999999999"/>
    <n v="4"/>
    <n v="0.16"/>
    <n v="365.64"/>
  </r>
  <r>
    <s v="ORD1151"/>
    <x v="228"/>
    <s v="CUST731"/>
    <s v="Rahul Das"/>
    <x v="1"/>
    <x v="0"/>
    <s v="Maharashtra"/>
    <x v="0"/>
    <x v="2"/>
    <x v="0"/>
    <n v="9842.19"/>
    <n v="9"/>
    <n v="0.23"/>
    <n v="-147.63"/>
  </r>
  <r>
    <s v="ORD1325"/>
    <x v="216"/>
    <s v="CUST278"/>
    <s v="Ravi Kumar"/>
    <x v="2"/>
    <x v="4"/>
    <s v="Karnataka"/>
    <x v="3"/>
    <x v="0"/>
    <x v="1"/>
    <n v="29366.73"/>
    <n v="2"/>
    <n v="0.03"/>
    <n v="2496.17"/>
  </r>
  <r>
    <s v="ORD1574"/>
    <x v="289"/>
    <s v="CUST508"/>
    <s v="Rahul Das"/>
    <x v="2"/>
    <x v="0"/>
    <s v="Maharashtra"/>
    <x v="0"/>
    <x v="0"/>
    <x v="2"/>
    <n v="8575.7000000000007"/>
    <n v="2"/>
    <n v="0.01"/>
    <n v="814.69"/>
  </r>
  <r>
    <s v="ORD1581"/>
    <x v="335"/>
    <s v="CUST991"/>
    <s v="Sneha Paul"/>
    <x v="0"/>
    <x v="0"/>
    <s v="Maharashtra"/>
    <x v="0"/>
    <x v="1"/>
    <x v="0"/>
    <n v="18193.830000000002"/>
    <n v="6"/>
    <n v="0.23"/>
    <n v="-272.91000000000003"/>
  </r>
  <r>
    <s v="ORD2491"/>
    <x v="198"/>
    <s v="CUST467"/>
    <s v="Neha Singh"/>
    <x v="2"/>
    <x v="3"/>
    <s v="Telangana"/>
    <x v="2"/>
    <x v="2"/>
    <x v="5"/>
    <n v="33060.65"/>
    <n v="4"/>
    <n v="0.13"/>
    <n v="1157.1199999999999"/>
  </r>
  <r>
    <s v="ORD1670"/>
    <x v="79"/>
    <s v="CUST856"/>
    <s v="Neha Singh"/>
    <x v="2"/>
    <x v="3"/>
    <s v="Telangana"/>
    <x v="2"/>
    <x v="1"/>
    <x v="4"/>
    <n v="1107.94"/>
    <n v="2"/>
    <n v="0.14000000000000001"/>
    <n v="33.24"/>
  </r>
  <r>
    <s v="ORD1452"/>
    <x v="219"/>
    <s v="CUST561"/>
    <s v="Pooja Verma"/>
    <x v="0"/>
    <x v="5"/>
    <s v="Tamil Nadu"/>
    <x v="1"/>
    <x v="0"/>
    <x v="2"/>
    <n v="6525.61"/>
    <n v="8"/>
    <n v="7.0000000000000007E-2"/>
    <n v="424.16"/>
  </r>
  <r>
    <s v="ORD1268"/>
    <x v="237"/>
    <s v="CUST490"/>
    <s v="Amit Sharma"/>
    <x v="0"/>
    <x v="3"/>
    <s v="Telangana"/>
    <x v="2"/>
    <x v="2"/>
    <x v="3"/>
    <n v="6233.83"/>
    <n v="6"/>
    <n v="0.28999999999999998"/>
    <n v="-280.52"/>
  </r>
  <r>
    <s v="ORD1742"/>
    <x v="100"/>
    <s v="CUST731"/>
    <s v="Pooja Verma"/>
    <x v="2"/>
    <x v="0"/>
    <s v="Maharashtra"/>
    <x v="0"/>
    <x v="0"/>
    <x v="4"/>
    <n v="33238.410000000003"/>
    <n v="4"/>
    <n v="0.18"/>
    <n v="332.38"/>
  </r>
  <r>
    <s v="ORD1427"/>
    <x v="159"/>
    <s v="CUST409"/>
    <s v="Rahul Das"/>
    <x v="0"/>
    <x v="5"/>
    <s v="Tamil Nadu"/>
    <x v="1"/>
    <x v="1"/>
    <x v="3"/>
    <n v="27806.65"/>
    <n v="6"/>
    <n v="0.23"/>
    <n v="-417.1"/>
  </r>
  <r>
    <s v="ORD1513"/>
    <x v="182"/>
    <s v="CUST850"/>
    <s v="Rahul Das"/>
    <x v="2"/>
    <x v="3"/>
    <s v="Telangana"/>
    <x v="2"/>
    <x v="1"/>
    <x v="4"/>
    <n v="27650.48"/>
    <n v="7"/>
    <n v="0"/>
    <n v="2765.05"/>
  </r>
  <r>
    <s v="ORD2440"/>
    <x v="36"/>
    <s v="CUST768"/>
    <s v="Ravi Kumar"/>
    <x v="0"/>
    <x v="0"/>
    <s v="Maharashtra"/>
    <x v="0"/>
    <x v="2"/>
    <x v="5"/>
    <n v="25524.7"/>
    <n v="6"/>
    <n v="0.18"/>
    <n v="255.25"/>
  </r>
  <r>
    <s v="ORD1276"/>
    <x v="336"/>
    <s v="CUST910"/>
    <s v="Ankit Roy"/>
    <x v="0"/>
    <x v="0"/>
    <s v="Maharashtra"/>
    <x v="0"/>
    <x v="1"/>
    <x v="3"/>
    <n v="22060.560000000001"/>
    <n v="3"/>
    <n v="0.14000000000000001"/>
    <n v="661.82"/>
  </r>
  <r>
    <s v="ORD1647"/>
    <x v="140"/>
    <s v="CUST304"/>
    <s v="Amit Sharma"/>
    <x v="1"/>
    <x v="1"/>
    <s v="West Bengal"/>
    <x v="1"/>
    <x v="0"/>
    <x v="5"/>
    <n v="7459.65"/>
    <n v="8"/>
    <n v="0.2"/>
    <n v="0"/>
  </r>
  <r>
    <s v="ORD2412"/>
    <x v="34"/>
    <s v="CUST821"/>
    <s v="Pooja Verma"/>
    <x v="2"/>
    <x v="5"/>
    <s v="Tamil Nadu"/>
    <x v="1"/>
    <x v="0"/>
    <x v="2"/>
    <n v="20433.759999999998"/>
    <n v="4"/>
    <n v="0.08"/>
    <n v="1226.03"/>
  </r>
  <r>
    <s v="ORD1032"/>
    <x v="302"/>
    <s v="CUST857"/>
    <s v="Neha Singh"/>
    <x v="2"/>
    <x v="0"/>
    <s v="Maharashtra"/>
    <x v="0"/>
    <x v="0"/>
    <x v="1"/>
    <n v="41007.07"/>
    <n v="9"/>
    <n v="0.19"/>
    <n v="205.04"/>
  </r>
  <r>
    <s v="ORD1543"/>
    <x v="110"/>
    <s v="CUST143"/>
    <s v="Ravi Kumar"/>
    <x v="0"/>
    <x v="2"/>
    <s v="Delhi"/>
    <x v="2"/>
    <x v="1"/>
    <x v="1"/>
    <n v="13341.42"/>
    <n v="8"/>
    <n v="0.24"/>
    <n v="-266.83"/>
  </r>
  <r>
    <s v="ORD1869"/>
    <x v="85"/>
    <s v="CUST645"/>
    <s v="Sneha Paul"/>
    <x v="0"/>
    <x v="3"/>
    <s v="Telangana"/>
    <x v="2"/>
    <x v="2"/>
    <x v="1"/>
    <n v="48310.37"/>
    <n v="7"/>
    <n v="0.1"/>
    <n v="2415.52"/>
  </r>
  <r>
    <s v="ORD2435"/>
    <x v="161"/>
    <s v="CUST120"/>
    <s v="Pooja Verma"/>
    <x v="0"/>
    <x v="5"/>
    <s v="Tamil Nadu"/>
    <x v="1"/>
    <x v="0"/>
    <x v="0"/>
    <n v="19146.98"/>
    <n v="1"/>
    <n v="0.22"/>
    <n v="-191.47"/>
  </r>
  <r>
    <s v="ORD1004"/>
    <x v="117"/>
    <s v="CUST278"/>
    <s v="Pooja Verma"/>
    <x v="2"/>
    <x v="2"/>
    <s v="Delhi"/>
    <x v="2"/>
    <x v="1"/>
    <x v="3"/>
    <n v="6071.4"/>
    <n v="10"/>
    <n v="0.22"/>
    <n v="-60.71"/>
  </r>
  <r>
    <s v="ORD2490"/>
    <x v="130"/>
    <s v="CUST684"/>
    <s v="Sneha Paul"/>
    <x v="0"/>
    <x v="4"/>
    <s v="Karnataka"/>
    <x v="3"/>
    <x v="1"/>
    <x v="4"/>
    <n v="46616.45"/>
    <n v="5"/>
    <n v="0.09"/>
    <n v="2563.9"/>
  </r>
  <r>
    <s v="ORD2087"/>
    <x v="337"/>
    <s v="CUST574"/>
    <s v="Ravi Kumar"/>
    <x v="1"/>
    <x v="1"/>
    <s v="West Bengal"/>
    <x v="1"/>
    <x v="2"/>
    <x v="6"/>
    <n v="28834.84"/>
    <n v="9"/>
    <n v="0.24"/>
    <n v="-576.70000000000005"/>
  </r>
  <r>
    <s v="ORD2252"/>
    <x v="224"/>
    <s v="CUST158"/>
    <s v="Sneha Paul"/>
    <x v="2"/>
    <x v="3"/>
    <s v="Telangana"/>
    <x v="2"/>
    <x v="1"/>
    <x v="5"/>
    <n v="39427.25"/>
    <n v="9"/>
    <n v="0.2"/>
    <n v="0"/>
  </r>
  <r>
    <s v="ORD2405"/>
    <x v="338"/>
    <s v="CUST333"/>
    <s v="Rahul Das"/>
    <x v="1"/>
    <x v="2"/>
    <s v="Delhi"/>
    <x v="2"/>
    <x v="1"/>
    <x v="0"/>
    <n v="29448.7"/>
    <n v="3"/>
    <n v="0.18"/>
    <n v="294.49"/>
  </r>
  <r>
    <s v="ORD1550"/>
    <x v="168"/>
    <s v="CUST337"/>
    <s v="Sneha Paul"/>
    <x v="1"/>
    <x v="0"/>
    <s v="Maharashtra"/>
    <x v="0"/>
    <x v="0"/>
    <x v="4"/>
    <n v="24698.67"/>
    <n v="9"/>
    <n v="0.1"/>
    <n v="1234.93"/>
  </r>
  <r>
    <s v="ORD1678"/>
    <x v="339"/>
    <s v="CUST337"/>
    <s v="Neha Singh"/>
    <x v="1"/>
    <x v="2"/>
    <s v="Delhi"/>
    <x v="2"/>
    <x v="1"/>
    <x v="5"/>
    <n v="37141.11"/>
    <n v="8"/>
    <n v="0.18"/>
    <n v="371.41"/>
  </r>
  <r>
    <s v="ORD1834"/>
    <x v="283"/>
    <s v="CUST598"/>
    <s v="Neha Singh"/>
    <x v="1"/>
    <x v="4"/>
    <s v="Karnataka"/>
    <x v="3"/>
    <x v="1"/>
    <x v="5"/>
    <n v="22477.119999999999"/>
    <n v="6"/>
    <n v="0.04"/>
    <n v="1798.17"/>
  </r>
  <r>
    <s v="ORD2275"/>
    <x v="332"/>
    <s v="CUST875"/>
    <s v="Pooja Verma"/>
    <x v="0"/>
    <x v="4"/>
    <s v="Karnataka"/>
    <x v="3"/>
    <x v="1"/>
    <x v="3"/>
    <n v="35936.29"/>
    <n v="7"/>
    <n v="0.08"/>
    <n v="2156.1799999999998"/>
  </r>
  <r>
    <s v="ORD1003"/>
    <x v="119"/>
    <s v="CUST977"/>
    <s v="Pooja Verma"/>
    <x v="1"/>
    <x v="0"/>
    <s v="Maharashtra"/>
    <x v="0"/>
    <x v="2"/>
    <x v="3"/>
    <n v="45378.2"/>
    <n v="5"/>
    <n v="0.18"/>
    <n v="453.78"/>
  </r>
  <r>
    <s v="ORD1061"/>
    <x v="177"/>
    <s v="CUST579"/>
    <s v="Rahul Das"/>
    <x v="1"/>
    <x v="5"/>
    <s v="Tamil Nadu"/>
    <x v="1"/>
    <x v="0"/>
    <x v="2"/>
    <n v="35933.99"/>
    <n v="10"/>
    <n v="0.28999999999999998"/>
    <n v="-1617.03"/>
  </r>
  <r>
    <s v="ORD1188"/>
    <x v="269"/>
    <s v="CUST173"/>
    <s v="Neha Singh"/>
    <x v="1"/>
    <x v="3"/>
    <s v="Telangana"/>
    <x v="2"/>
    <x v="1"/>
    <x v="6"/>
    <n v="12803.49"/>
    <n v="6"/>
    <n v="0.24"/>
    <n v="-256.07"/>
  </r>
  <r>
    <s v="ORD1278"/>
    <x v="145"/>
    <s v="CUST400"/>
    <s v="Ravi Kumar"/>
    <x v="2"/>
    <x v="0"/>
    <s v="Maharashtra"/>
    <x v="0"/>
    <x v="1"/>
    <x v="6"/>
    <n v="44927.33"/>
    <n v="9"/>
    <n v="0.26"/>
    <n v="-1347.82"/>
  </r>
  <r>
    <s v="ORD1407"/>
    <x v="322"/>
    <s v="CUST318"/>
    <s v="Ankit Roy"/>
    <x v="1"/>
    <x v="4"/>
    <s v="Karnataka"/>
    <x v="3"/>
    <x v="1"/>
    <x v="6"/>
    <n v="23746.99"/>
    <n v="7"/>
    <n v="0.09"/>
    <n v="1306.08"/>
  </r>
  <r>
    <s v="ORD2263"/>
    <x v="103"/>
    <s v="CUST479"/>
    <s v="Sneha Paul"/>
    <x v="2"/>
    <x v="3"/>
    <s v="Telangana"/>
    <x v="2"/>
    <x v="2"/>
    <x v="1"/>
    <n v="29024.11"/>
    <n v="1"/>
    <n v="0.11"/>
    <n v="1306.08"/>
  </r>
  <r>
    <s v="ORD1773"/>
    <x v="41"/>
    <s v="CUST431"/>
    <s v="Neha Singh"/>
    <x v="2"/>
    <x v="5"/>
    <s v="Tamil Nadu"/>
    <x v="1"/>
    <x v="0"/>
    <x v="6"/>
    <n v="15409.9"/>
    <n v="1"/>
    <n v="0.17"/>
    <n v="231.15"/>
  </r>
  <r>
    <s v="ORD1864"/>
    <x v="73"/>
    <s v="CUST758"/>
    <s v="Sneha Paul"/>
    <x v="0"/>
    <x v="3"/>
    <s v="Telangana"/>
    <x v="2"/>
    <x v="0"/>
    <x v="0"/>
    <n v="28771.31"/>
    <n v="3"/>
    <n v="0.2"/>
    <n v="0"/>
  </r>
  <r>
    <s v="ORD2373"/>
    <x v="83"/>
    <s v="CUST200"/>
    <s v="Pooja Verma"/>
    <x v="0"/>
    <x v="3"/>
    <s v="Telangana"/>
    <x v="2"/>
    <x v="2"/>
    <x v="6"/>
    <n v="38473.599999999999"/>
    <n v="6"/>
    <n v="0.11"/>
    <n v="1731.31"/>
  </r>
  <r>
    <s v="ORD1884"/>
    <x v="340"/>
    <s v="CUST546"/>
    <s v="Amit Sharma"/>
    <x v="2"/>
    <x v="3"/>
    <s v="Telangana"/>
    <x v="2"/>
    <x v="2"/>
    <x v="2"/>
    <n v="18960.990000000002"/>
    <n v="4"/>
    <n v="0.23"/>
    <n v="-284.41000000000003"/>
  </r>
  <r>
    <s v="ORD1952"/>
    <x v="33"/>
    <s v="CUST852"/>
    <s v="Ankit Roy"/>
    <x v="2"/>
    <x v="1"/>
    <s v="West Bengal"/>
    <x v="1"/>
    <x v="0"/>
    <x v="1"/>
    <n v="41677.57"/>
    <n v="7"/>
    <n v="0.15"/>
    <n v="1041.94"/>
  </r>
  <r>
    <s v="ORD2376"/>
    <x v="197"/>
    <s v="CUST559"/>
    <s v="Ravi Kumar"/>
    <x v="0"/>
    <x v="3"/>
    <s v="Telangana"/>
    <x v="2"/>
    <x v="0"/>
    <x v="4"/>
    <n v="11910.13"/>
    <n v="5"/>
    <n v="0.05"/>
    <n v="893.26"/>
  </r>
  <r>
    <s v="ORD2448"/>
    <x v="67"/>
    <s v="CUST256"/>
    <s v="Ravi Kumar"/>
    <x v="0"/>
    <x v="3"/>
    <s v="Telangana"/>
    <x v="2"/>
    <x v="2"/>
    <x v="5"/>
    <n v="16212.45"/>
    <n v="6"/>
    <n v="0.25"/>
    <n v="-405.31"/>
  </r>
  <r>
    <s v="ORD2205"/>
    <x v="12"/>
    <s v="CUST551"/>
    <s v="Rahul Das"/>
    <x v="1"/>
    <x v="3"/>
    <s v="Telangana"/>
    <x v="2"/>
    <x v="2"/>
    <x v="0"/>
    <n v="35863.379999999997"/>
    <n v="4"/>
    <n v="0.19"/>
    <n v="179.32"/>
  </r>
  <r>
    <s v="ORD1102"/>
    <x v="198"/>
    <s v="CUST992"/>
    <s v="Neha Singh"/>
    <x v="2"/>
    <x v="0"/>
    <s v="Maharashtra"/>
    <x v="0"/>
    <x v="2"/>
    <x v="2"/>
    <n v="45948.98"/>
    <n v="1"/>
    <n v="0.27"/>
    <n v="-1608.21"/>
  </r>
  <r>
    <s v="ORD2260"/>
    <x v="132"/>
    <s v="CUST309"/>
    <s v="Sneha Paul"/>
    <x v="2"/>
    <x v="0"/>
    <s v="Maharashtra"/>
    <x v="0"/>
    <x v="2"/>
    <x v="1"/>
    <n v="39070.879999999997"/>
    <n v="5"/>
    <n v="0.06"/>
    <n v="2734.96"/>
  </r>
  <r>
    <s v="ORD1881"/>
    <x v="133"/>
    <s v="CUST180"/>
    <s v="Ankit Roy"/>
    <x v="0"/>
    <x v="2"/>
    <s v="Delhi"/>
    <x v="2"/>
    <x v="0"/>
    <x v="4"/>
    <n v="29379.54"/>
    <n v="9"/>
    <n v="0.03"/>
    <n v="2497.2600000000002"/>
  </r>
  <r>
    <s v="ORD2186"/>
    <x v="311"/>
    <s v="CUST944"/>
    <s v="Pooja Verma"/>
    <x v="0"/>
    <x v="4"/>
    <s v="Karnataka"/>
    <x v="3"/>
    <x v="1"/>
    <x v="1"/>
    <n v="30265.05"/>
    <n v="3"/>
    <n v="0.11"/>
    <n v="1361.93"/>
  </r>
  <r>
    <s v="ORD2312"/>
    <x v="320"/>
    <s v="CUST566"/>
    <s v="Pooja Verma"/>
    <x v="1"/>
    <x v="1"/>
    <s v="West Bengal"/>
    <x v="1"/>
    <x v="2"/>
    <x v="0"/>
    <n v="49177.5"/>
    <n v="2"/>
    <n v="0.01"/>
    <n v="4671.8599999999997"/>
  </r>
  <r>
    <s v="ORD1439"/>
    <x v="153"/>
    <s v="CUST621"/>
    <s v="Ravi Kumar"/>
    <x v="2"/>
    <x v="1"/>
    <s v="West Bengal"/>
    <x v="1"/>
    <x v="2"/>
    <x v="5"/>
    <n v="13492.33"/>
    <n v="1"/>
    <n v="7.0000000000000007E-2"/>
    <n v="877"/>
  </r>
  <r>
    <s v="ORD1241"/>
    <x v="151"/>
    <s v="CUST879"/>
    <s v="Amit Sharma"/>
    <x v="1"/>
    <x v="0"/>
    <s v="Maharashtra"/>
    <x v="0"/>
    <x v="0"/>
    <x v="5"/>
    <n v="34517.480000000003"/>
    <n v="7"/>
    <n v="0.02"/>
    <n v="3106.57"/>
  </r>
  <r>
    <s v="ORD2220"/>
    <x v="181"/>
    <s v="CUST525"/>
    <s v="Pooja Verma"/>
    <x v="1"/>
    <x v="2"/>
    <s v="Delhi"/>
    <x v="2"/>
    <x v="0"/>
    <x v="6"/>
    <n v="33117.51"/>
    <n v="5"/>
    <n v="0.21"/>
    <n v="-165.59"/>
  </r>
  <r>
    <s v="ORD2356"/>
    <x v="9"/>
    <s v="CUST106"/>
    <s v="Sneha Paul"/>
    <x v="1"/>
    <x v="5"/>
    <s v="Tamil Nadu"/>
    <x v="1"/>
    <x v="0"/>
    <x v="5"/>
    <n v="42220.83"/>
    <n v="3"/>
    <n v="0.08"/>
    <n v="2533.25"/>
  </r>
  <r>
    <s v="ORD2378"/>
    <x v="35"/>
    <s v="CUST179"/>
    <s v="Ravi Kumar"/>
    <x v="1"/>
    <x v="0"/>
    <s v="Maharashtra"/>
    <x v="0"/>
    <x v="0"/>
    <x v="0"/>
    <n v="48378.63"/>
    <n v="5"/>
    <n v="0"/>
    <n v="4837.8599999999997"/>
  </r>
  <r>
    <s v="ORD1011"/>
    <x v="281"/>
    <s v="CUST774"/>
    <s v="Sneha Paul"/>
    <x v="2"/>
    <x v="2"/>
    <s v="Delhi"/>
    <x v="2"/>
    <x v="0"/>
    <x v="6"/>
    <n v="30069.919999999998"/>
    <n v="1"/>
    <n v="0.19"/>
    <n v="150.35"/>
  </r>
  <r>
    <s v="ORD1291"/>
    <x v="174"/>
    <s v="CUST840"/>
    <s v="Sneha Paul"/>
    <x v="0"/>
    <x v="2"/>
    <s v="Delhi"/>
    <x v="2"/>
    <x v="2"/>
    <x v="4"/>
    <n v="15079.22"/>
    <n v="1"/>
    <n v="0.2"/>
    <n v="0"/>
  </r>
  <r>
    <s v="ORD2455"/>
    <x v="10"/>
    <s v="CUST303"/>
    <s v="Amit Sharma"/>
    <x v="2"/>
    <x v="3"/>
    <s v="Telangana"/>
    <x v="2"/>
    <x v="0"/>
    <x v="2"/>
    <n v="25539.5"/>
    <n v="10"/>
    <n v="0.3"/>
    <n v="-1276.97"/>
  </r>
  <r>
    <s v="ORD1118"/>
    <x v="20"/>
    <s v="CUST652"/>
    <s v="Pooja Verma"/>
    <x v="2"/>
    <x v="3"/>
    <s v="Telangana"/>
    <x v="2"/>
    <x v="1"/>
    <x v="6"/>
    <n v="22713.27"/>
    <n v="9"/>
    <n v="0.06"/>
    <n v="1589.93"/>
  </r>
  <r>
    <s v="ORD1319"/>
    <x v="264"/>
    <s v="CUST634"/>
    <s v="Pooja Verma"/>
    <x v="0"/>
    <x v="2"/>
    <s v="Delhi"/>
    <x v="2"/>
    <x v="1"/>
    <x v="3"/>
    <n v="31210.66"/>
    <n v="3"/>
    <n v="0.25"/>
    <n v="-780.27"/>
  </r>
  <r>
    <s v="ORD1357"/>
    <x v="276"/>
    <s v="CUST228"/>
    <s v="Ankit Roy"/>
    <x v="2"/>
    <x v="3"/>
    <s v="Telangana"/>
    <x v="2"/>
    <x v="1"/>
    <x v="0"/>
    <n v="16989.43"/>
    <n v="1"/>
    <n v="0.17"/>
    <n v="254.84"/>
  </r>
  <r>
    <s v="ORD2444"/>
    <x v="83"/>
    <s v="CUST996"/>
    <s v="Sneha Paul"/>
    <x v="0"/>
    <x v="3"/>
    <s v="Telangana"/>
    <x v="2"/>
    <x v="2"/>
    <x v="6"/>
    <n v="49050.37"/>
    <n v="5"/>
    <n v="0.09"/>
    <n v="2697.77"/>
  </r>
  <r>
    <s v="ORD1431"/>
    <x v="252"/>
    <s v="CUST899"/>
    <s v="Pooja Verma"/>
    <x v="1"/>
    <x v="0"/>
    <s v="Maharashtra"/>
    <x v="0"/>
    <x v="0"/>
    <x v="4"/>
    <n v="5247.81"/>
    <n v="8"/>
    <n v="0.3"/>
    <n v="-262.39"/>
  </r>
  <r>
    <s v="ORD2031"/>
    <x v="42"/>
    <s v="CUST828"/>
    <s v="Neha Singh"/>
    <x v="2"/>
    <x v="4"/>
    <s v="Karnataka"/>
    <x v="3"/>
    <x v="0"/>
    <x v="3"/>
    <n v="16628.099999999999"/>
    <n v="4"/>
    <n v="0.13"/>
    <n v="581.98"/>
  </r>
  <r>
    <s v="ORD1734"/>
    <x v="66"/>
    <s v="CUST822"/>
    <s v="Ankit Roy"/>
    <x v="1"/>
    <x v="0"/>
    <s v="Maharashtra"/>
    <x v="0"/>
    <x v="1"/>
    <x v="3"/>
    <n v="2695.21"/>
    <n v="4"/>
    <n v="0.14000000000000001"/>
    <n v="80.86"/>
  </r>
  <r>
    <s v="ORD2271"/>
    <x v="61"/>
    <s v="CUST109"/>
    <s v="Amit Sharma"/>
    <x v="0"/>
    <x v="1"/>
    <s v="West Bengal"/>
    <x v="1"/>
    <x v="2"/>
    <x v="0"/>
    <n v="11441.32"/>
    <n v="2"/>
    <n v="0.02"/>
    <n v="1029.72"/>
  </r>
  <r>
    <s v="ORD1960"/>
    <x v="308"/>
    <s v="CUST879"/>
    <s v="Ankit Roy"/>
    <x v="2"/>
    <x v="1"/>
    <s v="West Bengal"/>
    <x v="1"/>
    <x v="0"/>
    <x v="0"/>
    <n v="36278.959999999999"/>
    <n v="6"/>
    <n v="0.08"/>
    <n v="2176.7399999999998"/>
  </r>
  <r>
    <s v="ORD2121"/>
    <x v="11"/>
    <s v="CUST260"/>
    <s v="Pooja Verma"/>
    <x v="1"/>
    <x v="2"/>
    <s v="Delhi"/>
    <x v="2"/>
    <x v="0"/>
    <x v="4"/>
    <n v="39461.39"/>
    <n v="4"/>
    <n v="0.05"/>
    <n v="2959.6"/>
  </r>
  <r>
    <s v="ORD2417"/>
    <x v="93"/>
    <s v="CUST952"/>
    <s v="Ankit Roy"/>
    <x v="0"/>
    <x v="0"/>
    <s v="Maharashtra"/>
    <x v="0"/>
    <x v="2"/>
    <x v="2"/>
    <n v="15201.87"/>
    <n v="5"/>
    <n v="0.22"/>
    <n v="-152.02000000000001"/>
  </r>
  <r>
    <s v="ORD1422"/>
    <x v="251"/>
    <s v="CUST236"/>
    <s v="Pooja Verma"/>
    <x v="1"/>
    <x v="0"/>
    <s v="Maharashtra"/>
    <x v="0"/>
    <x v="1"/>
    <x v="6"/>
    <n v="48955.32"/>
    <n v="1"/>
    <n v="0.3"/>
    <n v="-2447.77"/>
  </r>
  <r>
    <s v="ORD2300"/>
    <x v="147"/>
    <s v="CUST911"/>
    <s v="Pooja Verma"/>
    <x v="0"/>
    <x v="5"/>
    <s v="Tamil Nadu"/>
    <x v="1"/>
    <x v="2"/>
    <x v="4"/>
    <n v="3180.3"/>
    <n v="2"/>
    <n v="0.02"/>
    <n v="286.23"/>
  </r>
  <r>
    <s v="ORD2303"/>
    <x v="112"/>
    <s v="CUST865"/>
    <s v="Rahul Das"/>
    <x v="2"/>
    <x v="5"/>
    <s v="Tamil Nadu"/>
    <x v="1"/>
    <x v="2"/>
    <x v="0"/>
    <n v="33772.69"/>
    <n v="6"/>
    <n v="0.21"/>
    <n v="-168.86"/>
  </r>
  <r>
    <s v="ORD1370"/>
    <x v="57"/>
    <s v="CUST291"/>
    <s v="Ravi Kumar"/>
    <x v="2"/>
    <x v="4"/>
    <s v="Karnataka"/>
    <x v="3"/>
    <x v="0"/>
    <x v="3"/>
    <n v="41367.300000000003"/>
    <n v="8"/>
    <n v="0.16"/>
    <n v="827.35"/>
  </r>
  <r>
    <s v="ORD1986"/>
    <x v="64"/>
    <s v="CUST323"/>
    <s v="Pooja Verma"/>
    <x v="1"/>
    <x v="0"/>
    <s v="Maharashtra"/>
    <x v="0"/>
    <x v="2"/>
    <x v="5"/>
    <n v="36965.99"/>
    <n v="7"/>
    <n v="0.26"/>
    <n v="-1108.98"/>
  </r>
  <r>
    <s v="ORD1130"/>
    <x v="341"/>
    <s v="CUST895"/>
    <s v="Ankit Roy"/>
    <x v="0"/>
    <x v="4"/>
    <s v="Karnataka"/>
    <x v="3"/>
    <x v="1"/>
    <x v="3"/>
    <n v="8973.35"/>
    <n v="2"/>
    <n v="0.24"/>
    <n v="-179.47"/>
  </r>
  <r>
    <s v="ORD1440"/>
    <x v="42"/>
    <s v="CUST997"/>
    <s v="Rahul Das"/>
    <x v="1"/>
    <x v="2"/>
    <s v="Delhi"/>
    <x v="2"/>
    <x v="2"/>
    <x v="1"/>
    <n v="4279.7700000000004"/>
    <n v="4"/>
    <n v="0.17"/>
    <n v="64.2"/>
  </r>
  <r>
    <s v="ORD1548"/>
    <x v="300"/>
    <s v="CUST296"/>
    <s v="Ravi Kumar"/>
    <x v="1"/>
    <x v="4"/>
    <s v="Karnataka"/>
    <x v="3"/>
    <x v="1"/>
    <x v="0"/>
    <n v="26034.15"/>
    <n v="9"/>
    <n v="0.09"/>
    <n v="1431.88"/>
  </r>
  <r>
    <s v="ORD1667"/>
    <x v="179"/>
    <s v="CUST482"/>
    <s v="Neha Singh"/>
    <x v="2"/>
    <x v="5"/>
    <s v="Tamil Nadu"/>
    <x v="1"/>
    <x v="2"/>
    <x v="3"/>
    <n v="686.32"/>
    <n v="5"/>
    <n v="0.23"/>
    <n v="-10.29"/>
  </r>
  <r>
    <s v="ORD1891"/>
    <x v="95"/>
    <s v="CUST784"/>
    <s v="Sneha Paul"/>
    <x v="0"/>
    <x v="4"/>
    <s v="Karnataka"/>
    <x v="3"/>
    <x v="0"/>
    <x v="1"/>
    <n v="37284.79"/>
    <n v="9"/>
    <n v="0.03"/>
    <n v="3169.21"/>
  </r>
  <r>
    <s v="ORD2246"/>
    <x v="136"/>
    <s v="CUST544"/>
    <s v="Rahul Das"/>
    <x v="1"/>
    <x v="3"/>
    <s v="Telangana"/>
    <x v="2"/>
    <x v="0"/>
    <x v="4"/>
    <n v="19791.05"/>
    <n v="7"/>
    <n v="0.22"/>
    <n v="-197.91"/>
  </r>
  <r>
    <s v="ORD2291"/>
    <x v="2"/>
    <s v="CUST239"/>
    <s v="Rahul Das"/>
    <x v="2"/>
    <x v="5"/>
    <s v="Tamil Nadu"/>
    <x v="1"/>
    <x v="1"/>
    <x v="1"/>
    <n v="8098.06"/>
    <n v="3"/>
    <n v="0.09"/>
    <n v="445.39"/>
  </r>
  <r>
    <s v="ORD1372"/>
    <x v="331"/>
    <s v="CUST829"/>
    <s v="Amit Sharma"/>
    <x v="2"/>
    <x v="4"/>
    <s v="Karnataka"/>
    <x v="3"/>
    <x v="1"/>
    <x v="5"/>
    <n v="34653.19"/>
    <n v="6"/>
    <n v="0.11"/>
    <n v="1559.39"/>
  </r>
  <r>
    <s v="ORD1634"/>
    <x v="183"/>
    <s v="CUST468"/>
    <s v="Pooja Verma"/>
    <x v="1"/>
    <x v="2"/>
    <s v="Delhi"/>
    <x v="2"/>
    <x v="0"/>
    <x v="1"/>
    <n v="44557.01"/>
    <n v="6"/>
    <n v="0.23"/>
    <n v="-668.36"/>
  </r>
  <r>
    <s v="ORD2079"/>
    <x v="176"/>
    <s v="CUST176"/>
    <s v="Amit Sharma"/>
    <x v="0"/>
    <x v="4"/>
    <s v="Karnataka"/>
    <x v="3"/>
    <x v="1"/>
    <x v="5"/>
    <n v="23984.17"/>
    <n v="1"/>
    <n v="0.11"/>
    <n v="1079.29"/>
  </r>
  <r>
    <s v="ORD2309"/>
    <x v="291"/>
    <s v="CUST840"/>
    <s v="Pooja Verma"/>
    <x v="1"/>
    <x v="5"/>
    <s v="Tamil Nadu"/>
    <x v="1"/>
    <x v="0"/>
    <x v="6"/>
    <n v="29410.65"/>
    <n v="10"/>
    <n v="0.15"/>
    <n v="735.27"/>
  </r>
  <r>
    <s v="ORD1127"/>
    <x v="209"/>
    <s v="CUST547"/>
    <s v="Amit Sharma"/>
    <x v="2"/>
    <x v="1"/>
    <s v="West Bengal"/>
    <x v="1"/>
    <x v="0"/>
    <x v="4"/>
    <n v="47266.78"/>
    <n v="9"/>
    <n v="0.28999999999999998"/>
    <n v="-2127.0100000000002"/>
  </r>
  <r>
    <s v="ORD1715"/>
    <x v="70"/>
    <s v="CUST935"/>
    <s v="Sneha Paul"/>
    <x v="2"/>
    <x v="3"/>
    <s v="Telangana"/>
    <x v="2"/>
    <x v="2"/>
    <x v="5"/>
    <n v="22757.41"/>
    <n v="10"/>
    <n v="0.1"/>
    <n v="1137.8699999999999"/>
  </r>
  <r>
    <s v="ORD1996"/>
    <x v="17"/>
    <s v="CUST677"/>
    <s v="Pooja Verma"/>
    <x v="1"/>
    <x v="0"/>
    <s v="Maharashtra"/>
    <x v="0"/>
    <x v="1"/>
    <x v="4"/>
    <n v="32901.839999999997"/>
    <n v="9"/>
    <n v="0.11"/>
    <n v="1480.58"/>
  </r>
  <r>
    <s v="ORD1181"/>
    <x v="209"/>
    <s v="CUST931"/>
    <s v="Sneha Paul"/>
    <x v="2"/>
    <x v="1"/>
    <s v="West Bengal"/>
    <x v="1"/>
    <x v="0"/>
    <x v="0"/>
    <n v="31997.18"/>
    <n v="6"/>
    <n v="0.04"/>
    <n v="2559.77"/>
  </r>
  <r>
    <s v="ORD1262"/>
    <x v="215"/>
    <s v="CUST141"/>
    <s v="Ravi Kumar"/>
    <x v="1"/>
    <x v="4"/>
    <s v="Karnataka"/>
    <x v="3"/>
    <x v="2"/>
    <x v="0"/>
    <n v="43966.31"/>
    <n v="1"/>
    <n v="0.2"/>
    <n v="0"/>
  </r>
  <r>
    <s v="ORD1352"/>
    <x v="45"/>
    <s v="CUST806"/>
    <s v="Rahul Das"/>
    <x v="0"/>
    <x v="2"/>
    <s v="Delhi"/>
    <x v="2"/>
    <x v="1"/>
    <x v="2"/>
    <n v="807.92"/>
    <n v="4"/>
    <n v="0.13"/>
    <n v="28.28"/>
  </r>
  <r>
    <s v="ORD1807"/>
    <x v="7"/>
    <s v="CUST356"/>
    <s v="Neha Singh"/>
    <x v="2"/>
    <x v="5"/>
    <s v="Tamil Nadu"/>
    <x v="1"/>
    <x v="0"/>
    <x v="6"/>
    <n v="6437.04"/>
    <n v="6"/>
    <n v="0.23"/>
    <n v="-96.56"/>
  </r>
  <r>
    <s v="ORD1719"/>
    <x v="270"/>
    <s v="CUST413"/>
    <s v="Pooja Verma"/>
    <x v="1"/>
    <x v="0"/>
    <s v="Maharashtra"/>
    <x v="0"/>
    <x v="2"/>
    <x v="6"/>
    <n v="49919.68"/>
    <n v="7"/>
    <n v="0.08"/>
    <n v="2995.18"/>
  </r>
  <r>
    <s v="ORD2253"/>
    <x v="299"/>
    <s v="CUST643"/>
    <s v="Ravi Kumar"/>
    <x v="0"/>
    <x v="0"/>
    <s v="Maharashtra"/>
    <x v="0"/>
    <x v="1"/>
    <x v="4"/>
    <n v="37275.86"/>
    <n v="3"/>
    <n v="0.16"/>
    <n v="745.52"/>
  </r>
  <r>
    <s v="ORD1144"/>
    <x v="42"/>
    <s v="CUST438"/>
    <s v="Neha Singh"/>
    <x v="1"/>
    <x v="2"/>
    <s v="Delhi"/>
    <x v="2"/>
    <x v="1"/>
    <x v="6"/>
    <n v="14171.63"/>
    <n v="2"/>
    <n v="0.24"/>
    <n v="-283.43"/>
  </r>
  <r>
    <s v="ORD1648"/>
    <x v="171"/>
    <s v="CUST944"/>
    <s v="Ankit Roy"/>
    <x v="1"/>
    <x v="5"/>
    <s v="Tamil Nadu"/>
    <x v="1"/>
    <x v="0"/>
    <x v="0"/>
    <n v="3217.81"/>
    <n v="8"/>
    <n v="0.16"/>
    <n v="64.36"/>
  </r>
  <r>
    <s v="ORD2212"/>
    <x v="268"/>
    <s v="CUST624"/>
    <s v="Ankit Roy"/>
    <x v="1"/>
    <x v="0"/>
    <s v="Maharashtra"/>
    <x v="0"/>
    <x v="0"/>
    <x v="1"/>
    <n v="40092.67"/>
    <n v="6"/>
    <n v="0.24"/>
    <n v="-801.85"/>
  </r>
  <r>
    <s v="ORD1435"/>
    <x v="209"/>
    <s v="CUST366"/>
    <s v="Neha Singh"/>
    <x v="2"/>
    <x v="4"/>
    <s v="Karnataka"/>
    <x v="3"/>
    <x v="0"/>
    <x v="1"/>
    <n v="13028.64"/>
    <n v="3"/>
    <n v="0.28000000000000003"/>
    <n v="-521.15"/>
  </r>
  <r>
    <s v="ORD1971"/>
    <x v="116"/>
    <s v="CUST102"/>
    <s v="Sneha Paul"/>
    <x v="0"/>
    <x v="5"/>
    <s v="Tamil Nadu"/>
    <x v="1"/>
    <x v="0"/>
    <x v="1"/>
    <n v="33868.75"/>
    <n v="9"/>
    <n v="0.27"/>
    <n v="-1185.4100000000001"/>
  </r>
  <r>
    <s v="ORD2156"/>
    <x v="29"/>
    <s v="CUST225"/>
    <s v="Ankit Roy"/>
    <x v="0"/>
    <x v="2"/>
    <s v="Delhi"/>
    <x v="2"/>
    <x v="1"/>
    <x v="0"/>
    <n v="11299.3"/>
    <n v="8"/>
    <n v="0.17"/>
    <n v="169.49"/>
  </r>
  <r>
    <s v="ORD1203"/>
    <x v="342"/>
    <s v="CUST440"/>
    <s v="Sneha Paul"/>
    <x v="1"/>
    <x v="3"/>
    <s v="Telangana"/>
    <x v="2"/>
    <x v="0"/>
    <x v="5"/>
    <n v="18006.97"/>
    <n v="10"/>
    <n v="0.11"/>
    <n v="810.31"/>
  </r>
  <r>
    <s v="ORD1676"/>
    <x v="275"/>
    <s v="CUST815"/>
    <s v="Amit Sharma"/>
    <x v="2"/>
    <x v="2"/>
    <s v="Delhi"/>
    <x v="2"/>
    <x v="1"/>
    <x v="6"/>
    <n v="44326.86"/>
    <n v="9"/>
    <n v="0.26"/>
    <n v="-1329.81"/>
  </r>
  <r>
    <s v="ORD2310"/>
    <x v="49"/>
    <s v="CUST630"/>
    <s v="Amit Sharma"/>
    <x v="2"/>
    <x v="3"/>
    <s v="Telangana"/>
    <x v="2"/>
    <x v="2"/>
    <x v="6"/>
    <n v="41060.53"/>
    <n v="1"/>
    <n v="0.19"/>
    <n v="205.3"/>
  </r>
  <r>
    <s v="ORD2464"/>
    <x v="15"/>
    <s v="CUST229"/>
    <s v="Amit Sharma"/>
    <x v="0"/>
    <x v="5"/>
    <s v="Tamil Nadu"/>
    <x v="1"/>
    <x v="1"/>
    <x v="5"/>
    <n v="15241.55"/>
    <n v="9"/>
    <n v="0.06"/>
    <n v="1066.9100000000001"/>
  </r>
  <r>
    <s v="ORD1041"/>
    <x v="37"/>
    <s v="CUST976"/>
    <s v="Sneha Paul"/>
    <x v="2"/>
    <x v="5"/>
    <s v="Tamil Nadu"/>
    <x v="1"/>
    <x v="2"/>
    <x v="6"/>
    <n v="26096.16"/>
    <n v="2"/>
    <n v="0.1"/>
    <n v="1304.81"/>
  </r>
  <r>
    <s v="ORD1485"/>
    <x v="169"/>
    <s v="CUST785"/>
    <s v="Rahul Das"/>
    <x v="0"/>
    <x v="2"/>
    <s v="Delhi"/>
    <x v="2"/>
    <x v="0"/>
    <x v="4"/>
    <n v="25544.36"/>
    <n v="4"/>
    <n v="0.26"/>
    <n v="-766.33"/>
  </r>
  <r>
    <s v="ORD1679"/>
    <x v="312"/>
    <s v="CUST513"/>
    <s v="Neha Singh"/>
    <x v="2"/>
    <x v="3"/>
    <s v="Telangana"/>
    <x v="2"/>
    <x v="0"/>
    <x v="0"/>
    <n v="39453.94"/>
    <n v="7"/>
    <n v="0.27"/>
    <n v="-1380.89"/>
  </r>
  <r>
    <s v="ORD1842"/>
    <x v="8"/>
    <s v="CUST387"/>
    <s v="Ankit Roy"/>
    <x v="2"/>
    <x v="0"/>
    <s v="Maharashtra"/>
    <x v="0"/>
    <x v="0"/>
    <x v="1"/>
    <n v="2569.15"/>
    <n v="6"/>
    <n v="0.24"/>
    <n v="-51.38"/>
  </r>
  <r>
    <s v="ORD2097"/>
    <x v="226"/>
    <s v="CUST159"/>
    <s v="Rahul Das"/>
    <x v="0"/>
    <x v="2"/>
    <s v="Delhi"/>
    <x v="2"/>
    <x v="0"/>
    <x v="3"/>
    <n v="16736.82"/>
    <n v="5"/>
    <n v="0.13"/>
    <n v="585.79"/>
  </r>
  <r>
    <s v="ORD1694"/>
    <x v="36"/>
    <s v="CUST652"/>
    <s v="Pooja Verma"/>
    <x v="0"/>
    <x v="4"/>
    <s v="Karnataka"/>
    <x v="3"/>
    <x v="0"/>
    <x v="5"/>
    <n v="7036"/>
    <n v="2"/>
    <n v="0.25"/>
    <n v="-175.9"/>
  </r>
  <r>
    <s v="ORD1785"/>
    <x v="320"/>
    <s v="CUST247"/>
    <s v="Ankit Roy"/>
    <x v="2"/>
    <x v="1"/>
    <s v="West Bengal"/>
    <x v="1"/>
    <x v="0"/>
    <x v="2"/>
    <n v="2617.36"/>
    <n v="4"/>
    <n v="0.2"/>
    <n v="0"/>
  </r>
  <r>
    <s v="ORD1497"/>
    <x v="215"/>
    <s v="CUST243"/>
    <s v="Rahul Das"/>
    <x v="1"/>
    <x v="4"/>
    <s v="Karnataka"/>
    <x v="3"/>
    <x v="0"/>
    <x v="5"/>
    <n v="1738.11"/>
    <n v="10"/>
    <n v="0.28999999999999998"/>
    <n v="-78.209999999999994"/>
  </r>
  <r>
    <s v="ORD2218"/>
    <x v="124"/>
    <s v="CUST333"/>
    <s v="Ankit Roy"/>
    <x v="0"/>
    <x v="5"/>
    <s v="Tamil Nadu"/>
    <x v="1"/>
    <x v="1"/>
    <x v="6"/>
    <n v="20893.38"/>
    <n v="1"/>
    <n v="0.17"/>
    <n v="313.39999999999998"/>
  </r>
  <r>
    <s v="ORD2391"/>
    <x v="292"/>
    <s v="CUST216"/>
    <s v="Amit Sharma"/>
    <x v="2"/>
    <x v="5"/>
    <s v="Tamil Nadu"/>
    <x v="1"/>
    <x v="1"/>
    <x v="4"/>
    <n v="9421.01"/>
    <n v="5"/>
    <n v="0.3"/>
    <n v="-471.05"/>
  </r>
  <r>
    <s v="ORD1035"/>
    <x v="294"/>
    <s v="CUST421"/>
    <s v="Amit Sharma"/>
    <x v="2"/>
    <x v="2"/>
    <s v="Delhi"/>
    <x v="2"/>
    <x v="1"/>
    <x v="5"/>
    <n v="29579.87"/>
    <n v="1"/>
    <n v="0.25"/>
    <n v="-739.5"/>
  </r>
  <r>
    <s v="ORD1258"/>
    <x v="51"/>
    <s v="CUST391"/>
    <s v="Neha Singh"/>
    <x v="1"/>
    <x v="5"/>
    <s v="Tamil Nadu"/>
    <x v="1"/>
    <x v="2"/>
    <x v="5"/>
    <n v="20901.96"/>
    <n v="6"/>
    <n v="0.03"/>
    <n v="1776.67"/>
  </r>
  <r>
    <s v="ORD1990"/>
    <x v="52"/>
    <s v="CUST113"/>
    <s v="Ravi Kumar"/>
    <x v="2"/>
    <x v="5"/>
    <s v="Tamil Nadu"/>
    <x v="1"/>
    <x v="0"/>
    <x v="1"/>
    <n v="14079.33"/>
    <n v="3"/>
    <n v="0.28999999999999998"/>
    <n v="-633.57000000000005"/>
  </r>
  <r>
    <s v="ORD2217"/>
    <x v="84"/>
    <s v="CUST555"/>
    <s v="Rahul Das"/>
    <x v="1"/>
    <x v="1"/>
    <s v="West Bengal"/>
    <x v="1"/>
    <x v="1"/>
    <x v="2"/>
    <n v="32735.19"/>
    <n v="7"/>
    <n v="0.17"/>
    <n v="491.03"/>
  </r>
  <r>
    <s v="ORD2322"/>
    <x v="102"/>
    <s v="CUST734"/>
    <s v="Rahul Das"/>
    <x v="2"/>
    <x v="2"/>
    <s v="Delhi"/>
    <x v="2"/>
    <x v="1"/>
    <x v="0"/>
    <n v="48512.46"/>
    <n v="3"/>
    <n v="0.02"/>
    <n v="4366.12"/>
  </r>
  <r>
    <s v="ORD1782"/>
    <x v="319"/>
    <s v="CUST149"/>
    <s v="Rahul Das"/>
    <x v="1"/>
    <x v="0"/>
    <s v="Maharashtra"/>
    <x v="0"/>
    <x v="1"/>
    <x v="2"/>
    <n v="43562.07"/>
    <n v="4"/>
    <n v="0.12"/>
    <n v="1742.48"/>
  </r>
  <r>
    <s v="ORD2093"/>
    <x v="109"/>
    <s v="CUST461"/>
    <s v="Rahul Das"/>
    <x v="1"/>
    <x v="4"/>
    <s v="Karnataka"/>
    <x v="3"/>
    <x v="0"/>
    <x v="5"/>
    <n v="14447.42"/>
    <n v="9"/>
    <n v="0.24"/>
    <n v="-288.95"/>
  </r>
  <r>
    <s v="ORD1222"/>
    <x v="92"/>
    <s v="CUST649"/>
    <s v="Sneha Paul"/>
    <x v="0"/>
    <x v="3"/>
    <s v="Telangana"/>
    <x v="2"/>
    <x v="1"/>
    <x v="3"/>
    <n v="34520.1"/>
    <n v="10"/>
    <n v="0.25"/>
    <n v="-863"/>
  </r>
  <r>
    <s v="ORD2069"/>
    <x v="100"/>
    <s v="CUST191"/>
    <s v="Rahul Das"/>
    <x v="1"/>
    <x v="2"/>
    <s v="Delhi"/>
    <x v="2"/>
    <x v="1"/>
    <x v="3"/>
    <n v="14806.03"/>
    <n v="3"/>
    <n v="0.05"/>
    <n v="1110.45"/>
  </r>
  <r>
    <s v="ORD1401"/>
    <x v="207"/>
    <s v="CUST683"/>
    <s v="Rahul Das"/>
    <x v="0"/>
    <x v="4"/>
    <s v="Karnataka"/>
    <x v="3"/>
    <x v="2"/>
    <x v="2"/>
    <n v="36153.5"/>
    <n v="7"/>
    <n v="0.14000000000000001"/>
    <n v="1084.6099999999999"/>
  </r>
  <r>
    <s v="ORD1538"/>
    <x v="299"/>
    <s v="CUST235"/>
    <s v="Neha Singh"/>
    <x v="0"/>
    <x v="3"/>
    <s v="Telangana"/>
    <x v="2"/>
    <x v="0"/>
    <x v="1"/>
    <n v="46343.64"/>
    <n v="4"/>
    <n v="0.18"/>
    <n v="463.44"/>
  </r>
  <r>
    <s v="ORD1933"/>
    <x v="45"/>
    <s v="CUST253"/>
    <s v="Amit Sharma"/>
    <x v="0"/>
    <x v="2"/>
    <s v="Delhi"/>
    <x v="2"/>
    <x v="1"/>
    <x v="0"/>
    <n v="20341.169999999998"/>
    <n v="6"/>
    <n v="7.0000000000000007E-2"/>
    <n v="1322.18"/>
  </r>
  <r>
    <s v="ORD2396"/>
    <x v="324"/>
    <s v="CUST282"/>
    <s v="Pooja Verma"/>
    <x v="0"/>
    <x v="1"/>
    <s v="West Bengal"/>
    <x v="1"/>
    <x v="2"/>
    <x v="5"/>
    <n v="32283.38"/>
    <n v="5"/>
    <n v="0.2"/>
    <n v="0"/>
  </r>
  <r>
    <s v="ORD1571"/>
    <x v="307"/>
    <s v="CUST875"/>
    <s v="Neha Singh"/>
    <x v="1"/>
    <x v="1"/>
    <s v="West Bengal"/>
    <x v="1"/>
    <x v="0"/>
    <x v="3"/>
    <n v="25561.22"/>
    <n v="6"/>
    <n v="0.02"/>
    <n v="2300.5100000000002"/>
  </r>
  <r>
    <s v="ORD2052"/>
    <x v="89"/>
    <s v="CUST509"/>
    <s v="Ravi Kumar"/>
    <x v="1"/>
    <x v="4"/>
    <s v="Karnataka"/>
    <x v="3"/>
    <x v="2"/>
    <x v="0"/>
    <n v="29571.1"/>
    <n v="3"/>
    <n v="0.23"/>
    <n v="-443.57"/>
  </r>
  <r>
    <s v="ORD1611"/>
    <x v="277"/>
    <s v="CUST285"/>
    <s v="Ravi Kumar"/>
    <x v="2"/>
    <x v="4"/>
    <s v="Karnataka"/>
    <x v="3"/>
    <x v="0"/>
    <x v="1"/>
    <n v="43967.43"/>
    <n v="2"/>
    <n v="0.16"/>
    <n v="879.35"/>
  </r>
  <r>
    <s v="ORD1815"/>
    <x v="226"/>
    <s v="CUST218"/>
    <s v="Ankit Roy"/>
    <x v="0"/>
    <x v="1"/>
    <s v="West Bengal"/>
    <x v="1"/>
    <x v="1"/>
    <x v="5"/>
    <n v="27235.39"/>
    <n v="2"/>
    <n v="0.23"/>
    <n v="-408.53"/>
  </r>
  <r>
    <s v="ORD2053"/>
    <x v="113"/>
    <s v="CUST139"/>
    <s v="Rahul Das"/>
    <x v="0"/>
    <x v="2"/>
    <s v="Delhi"/>
    <x v="2"/>
    <x v="1"/>
    <x v="3"/>
    <n v="39386.870000000003"/>
    <n v="10"/>
    <n v="0.18"/>
    <n v="393.87"/>
  </r>
  <r>
    <s v="ORD1048"/>
    <x v="191"/>
    <s v="CUST402"/>
    <s v="Sneha Paul"/>
    <x v="1"/>
    <x v="0"/>
    <s v="Maharashtra"/>
    <x v="0"/>
    <x v="1"/>
    <x v="3"/>
    <n v="1570.68"/>
    <n v="7"/>
    <n v="0.27"/>
    <n v="-54.97"/>
  </r>
  <r>
    <s v="ORD1818"/>
    <x v="59"/>
    <s v="CUST322"/>
    <s v="Ankit Roy"/>
    <x v="1"/>
    <x v="4"/>
    <s v="Karnataka"/>
    <x v="3"/>
    <x v="0"/>
    <x v="3"/>
    <n v="31700.13"/>
    <n v="9"/>
    <n v="0.3"/>
    <n v="-1585.01"/>
  </r>
  <r>
    <s v="ORD1946"/>
    <x v="269"/>
    <s v="CUST654"/>
    <s v="Neha Singh"/>
    <x v="0"/>
    <x v="3"/>
    <s v="Telangana"/>
    <x v="2"/>
    <x v="2"/>
    <x v="6"/>
    <n v="46780.24"/>
    <n v="10"/>
    <n v="0.08"/>
    <n v="2806.81"/>
  </r>
  <r>
    <s v="ORD2249"/>
    <x v="288"/>
    <s v="CUST714"/>
    <s v="Sneha Paul"/>
    <x v="0"/>
    <x v="3"/>
    <s v="Telangana"/>
    <x v="2"/>
    <x v="2"/>
    <x v="0"/>
    <n v="8170.41"/>
    <n v="9"/>
    <n v="0.04"/>
    <n v="653.63"/>
  </r>
  <r>
    <s v="ORD1514"/>
    <x v="77"/>
    <s v="CUST265"/>
    <s v="Ankit Roy"/>
    <x v="0"/>
    <x v="1"/>
    <s v="West Bengal"/>
    <x v="1"/>
    <x v="2"/>
    <x v="3"/>
    <n v="40799.65"/>
    <n v="1"/>
    <n v="0.01"/>
    <n v="3875.97"/>
  </r>
  <r>
    <s v="ORD1887"/>
    <x v="93"/>
    <s v="CUST461"/>
    <s v="Sneha Paul"/>
    <x v="0"/>
    <x v="0"/>
    <s v="Maharashtra"/>
    <x v="0"/>
    <x v="0"/>
    <x v="5"/>
    <n v="26377.56"/>
    <n v="6"/>
    <n v="0.11"/>
    <n v="1186.99"/>
  </r>
  <r>
    <s v="ORD1791"/>
    <x v="189"/>
    <s v="CUST144"/>
    <s v="Neha Singh"/>
    <x v="0"/>
    <x v="1"/>
    <s v="West Bengal"/>
    <x v="1"/>
    <x v="0"/>
    <x v="2"/>
    <n v="27556.55"/>
    <n v="7"/>
    <n v="0.14000000000000001"/>
    <n v="826.7"/>
  </r>
  <r>
    <s v="ORD2475"/>
    <x v="176"/>
    <s v="CUST391"/>
    <s v="Sneha Paul"/>
    <x v="2"/>
    <x v="3"/>
    <s v="Telangana"/>
    <x v="2"/>
    <x v="0"/>
    <x v="3"/>
    <n v="42342.32"/>
    <n v="9"/>
    <n v="0.1"/>
    <n v="2117.12"/>
  </r>
  <r>
    <s v="ORD1086"/>
    <x v="175"/>
    <s v="CUST160"/>
    <s v="Pooja Verma"/>
    <x v="1"/>
    <x v="5"/>
    <s v="Tamil Nadu"/>
    <x v="1"/>
    <x v="0"/>
    <x v="6"/>
    <n v="44435.27"/>
    <n v="7"/>
    <n v="0.05"/>
    <n v="3332.65"/>
  </r>
  <r>
    <s v="ORD2120"/>
    <x v="88"/>
    <s v="CUST975"/>
    <s v="Neha Singh"/>
    <x v="0"/>
    <x v="0"/>
    <s v="Maharashtra"/>
    <x v="0"/>
    <x v="2"/>
    <x v="3"/>
    <n v="15648.39"/>
    <n v="1"/>
    <n v="0.03"/>
    <n v="1330.11"/>
  </r>
  <r>
    <s v="ORD2162"/>
    <x v="69"/>
    <s v="CUST919"/>
    <s v="Ankit Roy"/>
    <x v="1"/>
    <x v="4"/>
    <s v="Karnataka"/>
    <x v="3"/>
    <x v="2"/>
    <x v="2"/>
    <n v="20376.57"/>
    <n v="5"/>
    <n v="0.12"/>
    <n v="815.06"/>
  </r>
  <r>
    <s v="ORD1801"/>
    <x v="19"/>
    <s v="CUST259"/>
    <s v="Rahul Das"/>
    <x v="1"/>
    <x v="5"/>
    <s v="Tamil Nadu"/>
    <x v="1"/>
    <x v="2"/>
    <x v="2"/>
    <n v="13723.11"/>
    <n v="1"/>
    <n v="0.06"/>
    <n v="960.62"/>
  </r>
  <r>
    <s v="ORD1922"/>
    <x v="86"/>
    <s v="CUST377"/>
    <s v="Ravi Kumar"/>
    <x v="1"/>
    <x v="2"/>
    <s v="Delhi"/>
    <x v="2"/>
    <x v="2"/>
    <x v="0"/>
    <n v="35118.35"/>
    <n v="3"/>
    <n v="0.21"/>
    <n v="-175.59"/>
  </r>
  <r>
    <s v="ORD2413"/>
    <x v="31"/>
    <s v="CUST411"/>
    <s v="Neha Singh"/>
    <x v="1"/>
    <x v="0"/>
    <s v="Maharashtra"/>
    <x v="0"/>
    <x v="2"/>
    <x v="0"/>
    <n v="26950.2"/>
    <n v="4"/>
    <n v="0.22"/>
    <n v="-269.5"/>
  </r>
  <r>
    <s v="ORD1489"/>
    <x v="61"/>
    <s v="CUST955"/>
    <s v="Sneha Paul"/>
    <x v="0"/>
    <x v="5"/>
    <s v="Tamil Nadu"/>
    <x v="1"/>
    <x v="2"/>
    <x v="6"/>
    <n v="9104.52"/>
    <n v="7"/>
    <n v="0.08"/>
    <n v="546.27"/>
  </r>
  <r>
    <s v="ORD1653"/>
    <x v="190"/>
    <s v="CUST986"/>
    <s v="Ankit Roy"/>
    <x v="0"/>
    <x v="4"/>
    <s v="Karnataka"/>
    <x v="3"/>
    <x v="0"/>
    <x v="2"/>
    <n v="23949.47"/>
    <n v="5"/>
    <n v="0.06"/>
    <n v="1676.46"/>
  </r>
  <r>
    <s v="ORD2259"/>
    <x v="187"/>
    <s v="CUST783"/>
    <s v="Amit Sharma"/>
    <x v="2"/>
    <x v="0"/>
    <s v="Maharashtra"/>
    <x v="0"/>
    <x v="2"/>
    <x v="2"/>
    <n v="7091.3"/>
    <n v="1"/>
    <n v="0.2"/>
    <n v="0"/>
  </r>
  <r>
    <s v="ORD1624"/>
    <x v="340"/>
    <s v="CUST756"/>
    <s v="Rahul Das"/>
    <x v="1"/>
    <x v="0"/>
    <s v="Maharashtra"/>
    <x v="0"/>
    <x v="2"/>
    <x v="4"/>
    <n v="932.51"/>
    <n v="6"/>
    <n v="0.25"/>
    <n v="-23.31"/>
  </r>
  <r>
    <s v="ORD2209"/>
    <x v="241"/>
    <s v="CUST267"/>
    <s v="Ravi Kumar"/>
    <x v="1"/>
    <x v="4"/>
    <s v="Karnataka"/>
    <x v="3"/>
    <x v="1"/>
    <x v="0"/>
    <n v="24995.25"/>
    <n v="6"/>
    <n v="0.25"/>
    <n v="-624.88"/>
  </r>
  <r>
    <s v="ORD2213"/>
    <x v="257"/>
    <s v="CUST410"/>
    <s v="Rahul Das"/>
    <x v="2"/>
    <x v="3"/>
    <s v="Telangana"/>
    <x v="2"/>
    <x v="0"/>
    <x v="4"/>
    <n v="2286.85"/>
    <n v="6"/>
    <n v="7.0000000000000007E-2"/>
    <n v="148.65"/>
  </r>
  <r>
    <s v="ORD1303"/>
    <x v="288"/>
    <s v="CUST260"/>
    <s v="Neha Singh"/>
    <x v="1"/>
    <x v="5"/>
    <s v="Tamil Nadu"/>
    <x v="1"/>
    <x v="1"/>
    <x v="0"/>
    <n v="6934.56"/>
    <n v="5"/>
    <n v="0.23"/>
    <n v="-104.02"/>
  </r>
  <r>
    <s v="ORD2433"/>
    <x v="41"/>
    <s v="CUST195"/>
    <s v="Neha Singh"/>
    <x v="0"/>
    <x v="3"/>
    <s v="Telangana"/>
    <x v="2"/>
    <x v="0"/>
    <x v="0"/>
    <n v="45558.77"/>
    <n v="8"/>
    <n v="0.2"/>
    <n v="0"/>
  </r>
  <r>
    <s v="ORD1084"/>
    <x v="273"/>
    <s v="CUST715"/>
    <s v="Amit Sharma"/>
    <x v="1"/>
    <x v="0"/>
    <s v="Maharashtra"/>
    <x v="0"/>
    <x v="2"/>
    <x v="3"/>
    <n v="656.26"/>
    <n v="2"/>
    <n v="0.14000000000000001"/>
    <n v="19.690000000000001"/>
  </r>
  <r>
    <s v="ORD1449"/>
    <x v="81"/>
    <s v="CUST732"/>
    <s v="Amit Sharma"/>
    <x v="0"/>
    <x v="2"/>
    <s v="Delhi"/>
    <x v="2"/>
    <x v="1"/>
    <x v="1"/>
    <n v="38091.86"/>
    <n v="3"/>
    <n v="0.08"/>
    <n v="2285.5100000000002"/>
  </r>
  <r>
    <s v="ORD1713"/>
    <x v="310"/>
    <s v="CUST562"/>
    <s v="Pooja Verma"/>
    <x v="2"/>
    <x v="0"/>
    <s v="Maharashtra"/>
    <x v="0"/>
    <x v="2"/>
    <x v="5"/>
    <n v="13592.1"/>
    <n v="4"/>
    <n v="0.2"/>
    <n v="0"/>
  </r>
  <r>
    <s v="ORD1090"/>
    <x v="77"/>
    <s v="CUST530"/>
    <s v="Pooja Verma"/>
    <x v="0"/>
    <x v="5"/>
    <s v="Tamil Nadu"/>
    <x v="1"/>
    <x v="0"/>
    <x v="0"/>
    <n v="1440.46"/>
    <n v="2"/>
    <n v="0.3"/>
    <n v="-72.02"/>
  </r>
  <r>
    <s v="ORD1113"/>
    <x v="203"/>
    <s v="CUST722"/>
    <s v="Ravi Kumar"/>
    <x v="2"/>
    <x v="1"/>
    <s v="West Bengal"/>
    <x v="1"/>
    <x v="2"/>
    <x v="4"/>
    <n v="37449.379999999997"/>
    <n v="1"/>
    <n v="7.0000000000000007E-2"/>
    <n v="2434.21"/>
  </r>
  <r>
    <s v="ORD1696"/>
    <x v="269"/>
    <s v="CUST728"/>
    <s v="Neha Singh"/>
    <x v="1"/>
    <x v="0"/>
    <s v="Maharashtra"/>
    <x v="0"/>
    <x v="2"/>
    <x v="5"/>
    <n v="46270.32"/>
    <n v="2"/>
    <n v="0.04"/>
    <n v="3701.63"/>
  </r>
  <r>
    <s v="ORD2002"/>
    <x v="221"/>
    <s v="CUST696"/>
    <s v="Pooja Verma"/>
    <x v="2"/>
    <x v="3"/>
    <s v="Telangana"/>
    <x v="2"/>
    <x v="1"/>
    <x v="0"/>
    <n v="42683.02"/>
    <n v="10"/>
    <n v="0.01"/>
    <n v="4054.89"/>
  </r>
  <r>
    <s v="ORD2177"/>
    <x v="143"/>
    <s v="CUST797"/>
    <s v="Pooja Verma"/>
    <x v="2"/>
    <x v="1"/>
    <s v="West Bengal"/>
    <x v="1"/>
    <x v="1"/>
    <x v="0"/>
    <n v="29010.94"/>
    <n v="6"/>
    <n v="0.13"/>
    <n v="1015.38"/>
  </r>
  <r>
    <s v="ORD1263"/>
    <x v="135"/>
    <s v="CUST406"/>
    <s v="Ravi Kumar"/>
    <x v="0"/>
    <x v="5"/>
    <s v="Tamil Nadu"/>
    <x v="1"/>
    <x v="1"/>
    <x v="4"/>
    <n v="49545.85"/>
    <n v="4"/>
    <n v="0.06"/>
    <n v="3468.21"/>
  </r>
  <r>
    <s v="ORD2140"/>
    <x v="117"/>
    <s v="CUST276"/>
    <s v="Neha Singh"/>
    <x v="1"/>
    <x v="5"/>
    <s v="Tamil Nadu"/>
    <x v="1"/>
    <x v="1"/>
    <x v="1"/>
    <n v="26084.82"/>
    <n v="9"/>
    <n v="0.25"/>
    <n v="-652.12"/>
  </r>
  <r>
    <s v="ORD1105"/>
    <x v="189"/>
    <s v="CUST992"/>
    <s v="Rahul Das"/>
    <x v="2"/>
    <x v="1"/>
    <s v="West Bengal"/>
    <x v="1"/>
    <x v="2"/>
    <x v="4"/>
    <n v="26627.27"/>
    <n v="6"/>
    <n v="0.1"/>
    <n v="1331.36"/>
  </r>
  <r>
    <s v="ORD1354"/>
    <x v="251"/>
    <s v="CUST938"/>
    <s v="Neha Singh"/>
    <x v="1"/>
    <x v="3"/>
    <s v="Telangana"/>
    <x v="2"/>
    <x v="2"/>
    <x v="4"/>
    <n v="6222.39"/>
    <n v="3"/>
    <n v="0.18"/>
    <n v="62.22"/>
  </r>
  <r>
    <s v="ORD1507"/>
    <x v="156"/>
    <s v="CUST212"/>
    <s v="Ravi Kumar"/>
    <x v="1"/>
    <x v="3"/>
    <s v="Telangana"/>
    <x v="2"/>
    <x v="0"/>
    <x v="4"/>
    <n v="11986.62"/>
    <n v="4"/>
    <n v="0.21"/>
    <n v="-59.93"/>
  </r>
  <r>
    <s v="ORD1578"/>
    <x v="214"/>
    <s v="CUST220"/>
    <s v="Sneha Paul"/>
    <x v="1"/>
    <x v="2"/>
    <s v="Delhi"/>
    <x v="2"/>
    <x v="1"/>
    <x v="2"/>
    <n v="17408.02"/>
    <n v="10"/>
    <n v="0.04"/>
    <n v="1392.64"/>
  </r>
  <r>
    <s v="ORD1677"/>
    <x v="169"/>
    <s v="CUST360"/>
    <s v="Amit Sharma"/>
    <x v="1"/>
    <x v="0"/>
    <s v="Maharashtra"/>
    <x v="0"/>
    <x v="1"/>
    <x v="4"/>
    <n v="10767.92"/>
    <n v="6"/>
    <n v="0.09"/>
    <n v="592.24"/>
  </r>
  <r>
    <s v="ORD2307"/>
    <x v="264"/>
    <s v="CUST113"/>
    <s v="Ankit Roy"/>
    <x v="2"/>
    <x v="3"/>
    <s v="Telangana"/>
    <x v="2"/>
    <x v="0"/>
    <x v="0"/>
    <n v="29138.06"/>
    <n v="2"/>
    <n v="0.14000000000000001"/>
    <n v="874.14"/>
  </r>
  <r>
    <s v="ORD2442"/>
    <x v="134"/>
    <s v="CUST506"/>
    <s v="Neha Singh"/>
    <x v="1"/>
    <x v="2"/>
    <s v="Delhi"/>
    <x v="2"/>
    <x v="1"/>
    <x v="6"/>
    <n v="38851.769999999997"/>
    <n v="4"/>
    <n v="0.18"/>
    <n v="388.52"/>
  </r>
  <r>
    <s v="ORD1047"/>
    <x v="69"/>
    <s v="CUST357"/>
    <s v="Amit Sharma"/>
    <x v="0"/>
    <x v="5"/>
    <s v="Tamil Nadu"/>
    <x v="1"/>
    <x v="1"/>
    <x v="3"/>
    <n v="40873.08"/>
    <n v="10"/>
    <n v="0.2"/>
    <n v="0"/>
  </r>
  <r>
    <s v="ORD1641"/>
    <x v="191"/>
    <s v="CUST887"/>
    <s v="Amit Sharma"/>
    <x v="0"/>
    <x v="0"/>
    <s v="Maharashtra"/>
    <x v="0"/>
    <x v="1"/>
    <x v="5"/>
    <n v="20098.63"/>
    <n v="8"/>
    <n v="0.14000000000000001"/>
    <n v="602.96"/>
  </r>
  <r>
    <s v="ORD2224"/>
    <x v="135"/>
    <s v="CUST487"/>
    <s v="Rahul Das"/>
    <x v="0"/>
    <x v="2"/>
    <s v="Delhi"/>
    <x v="2"/>
    <x v="1"/>
    <x v="0"/>
    <n v="3186.46"/>
    <n v="7"/>
    <n v="0.22"/>
    <n v="-31.86"/>
  </r>
  <r>
    <s v="ORD1573"/>
    <x v="204"/>
    <s v="CUST275"/>
    <s v="Sneha Paul"/>
    <x v="1"/>
    <x v="3"/>
    <s v="Telangana"/>
    <x v="2"/>
    <x v="0"/>
    <x v="3"/>
    <n v="31409.94"/>
    <n v="1"/>
    <n v="0.15"/>
    <n v="785.25"/>
  </r>
  <r>
    <s v="ORD1954"/>
    <x v="58"/>
    <s v="CUST247"/>
    <s v="Neha Singh"/>
    <x v="0"/>
    <x v="5"/>
    <s v="Tamil Nadu"/>
    <x v="1"/>
    <x v="0"/>
    <x v="6"/>
    <n v="12362.54"/>
    <n v="9"/>
    <n v="0.03"/>
    <n v="1050.82"/>
  </r>
  <r>
    <s v="ORD2344"/>
    <x v="63"/>
    <s v="CUST916"/>
    <s v="Ravi Kumar"/>
    <x v="1"/>
    <x v="1"/>
    <s v="West Bengal"/>
    <x v="1"/>
    <x v="2"/>
    <x v="6"/>
    <n v="22785.360000000001"/>
    <n v="6"/>
    <n v="0.22"/>
    <n v="-227.85"/>
  </r>
  <r>
    <s v="ORD1030"/>
    <x v="150"/>
    <s v="CUST783"/>
    <s v="Amit Sharma"/>
    <x v="2"/>
    <x v="5"/>
    <s v="Tamil Nadu"/>
    <x v="1"/>
    <x v="1"/>
    <x v="2"/>
    <n v="47567.02"/>
    <n v="9"/>
    <n v="0.16"/>
    <n v="951.34"/>
  </r>
  <r>
    <s v="ORD1756"/>
    <x v="29"/>
    <s v="CUST630"/>
    <s v="Ankit Roy"/>
    <x v="0"/>
    <x v="5"/>
    <s v="Tamil Nadu"/>
    <x v="1"/>
    <x v="0"/>
    <x v="0"/>
    <n v="23302.69"/>
    <n v="5"/>
    <n v="0.26"/>
    <n v="-699.08"/>
  </r>
  <r>
    <s v="ORD1809"/>
    <x v="54"/>
    <s v="CUST858"/>
    <s v="Sneha Paul"/>
    <x v="0"/>
    <x v="3"/>
    <s v="Telangana"/>
    <x v="2"/>
    <x v="2"/>
    <x v="1"/>
    <n v="28832.57"/>
    <n v="3"/>
    <n v="0.13"/>
    <n v="1009.14"/>
  </r>
  <r>
    <s v="ORD2011"/>
    <x v="343"/>
    <s v="CUST397"/>
    <s v="Ravi Kumar"/>
    <x v="2"/>
    <x v="3"/>
    <s v="Telangana"/>
    <x v="2"/>
    <x v="0"/>
    <x v="2"/>
    <n v="5346.4"/>
    <n v="9"/>
    <n v="7.0000000000000007E-2"/>
    <n v="347.52"/>
  </r>
  <r>
    <s v="ORD2025"/>
    <x v="25"/>
    <s v="CUST953"/>
    <s v="Neha Singh"/>
    <x v="2"/>
    <x v="3"/>
    <s v="Telangana"/>
    <x v="2"/>
    <x v="2"/>
    <x v="5"/>
    <n v="48078.21"/>
    <n v="6"/>
    <n v="0.02"/>
    <n v="4327.04"/>
  </r>
  <r>
    <s v="ORD2191"/>
    <x v="35"/>
    <s v="CUST506"/>
    <s v="Amit Sharma"/>
    <x v="2"/>
    <x v="2"/>
    <s v="Delhi"/>
    <x v="2"/>
    <x v="0"/>
    <x v="4"/>
    <n v="17192.2"/>
    <n v="10"/>
    <n v="0.05"/>
    <n v="1289.42"/>
  </r>
  <r>
    <s v="ORD2411"/>
    <x v="317"/>
    <s v="CUST317"/>
    <s v="Ravi Kumar"/>
    <x v="1"/>
    <x v="1"/>
    <s v="West Bengal"/>
    <x v="1"/>
    <x v="1"/>
    <x v="6"/>
    <n v="35745.120000000003"/>
    <n v="2"/>
    <n v="0.22"/>
    <n v="-357.45"/>
  </r>
  <r>
    <s v="ORD1341"/>
    <x v="164"/>
    <s v="CUST274"/>
    <s v="Rahul Das"/>
    <x v="0"/>
    <x v="3"/>
    <s v="Telangana"/>
    <x v="2"/>
    <x v="1"/>
    <x v="1"/>
    <n v="36238.959999999999"/>
    <n v="10"/>
    <n v="0.18"/>
    <n v="362.39"/>
  </r>
  <r>
    <s v="ORD1022"/>
    <x v="110"/>
    <s v="CUST391"/>
    <s v="Pooja Verma"/>
    <x v="1"/>
    <x v="3"/>
    <s v="Telangana"/>
    <x v="2"/>
    <x v="1"/>
    <x v="5"/>
    <n v="37042.78"/>
    <n v="3"/>
    <n v="0.08"/>
    <n v="2222.5700000000002"/>
  </r>
  <r>
    <s v="ORD1375"/>
    <x v="7"/>
    <s v="CUST288"/>
    <s v="Amit Sharma"/>
    <x v="0"/>
    <x v="2"/>
    <s v="Delhi"/>
    <x v="2"/>
    <x v="1"/>
    <x v="6"/>
    <n v="13475.72"/>
    <n v="7"/>
    <n v="0.19"/>
    <n v="67.38"/>
  </r>
  <r>
    <s v="ORD1758"/>
    <x v="294"/>
    <s v="CUST944"/>
    <s v="Rahul Das"/>
    <x v="0"/>
    <x v="2"/>
    <s v="Delhi"/>
    <x v="2"/>
    <x v="1"/>
    <x v="6"/>
    <n v="41686.97"/>
    <n v="2"/>
    <n v="0.27"/>
    <n v="-1459.04"/>
  </r>
  <r>
    <s v="ORD1892"/>
    <x v="79"/>
    <s v="CUST584"/>
    <s v="Neha Singh"/>
    <x v="1"/>
    <x v="4"/>
    <s v="Karnataka"/>
    <x v="3"/>
    <x v="1"/>
    <x v="5"/>
    <n v="966.55"/>
    <n v="8"/>
    <n v="0.25"/>
    <n v="-24.16"/>
  </r>
  <r>
    <s v="ORD1145"/>
    <x v="223"/>
    <s v="CUST325"/>
    <s v="Ravi Kumar"/>
    <x v="2"/>
    <x v="2"/>
    <s v="Delhi"/>
    <x v="2"/>
    <x v="1"/>
    <x v="2"/>
    <n v="10759.52"/>
    <n v="7"/>
    <n v="0.18"/>
    <n v="107.6"/>
  </r>
  <r>
    <s v="ORD1335"/>
    <x v="195"/>
    <s v="CUST742"/>
    <s v="Ravi Kumar"/>
    <x v="0"/>
    <x v="1"/>
    <s v="West Bengal"/>
    <x v="1"/>
    <x v="0"/>
    <x v="2"/>
    <n v="47029"/>
    <n v="2"/>
    <n v="0.24"/>
    <n v="-940.58"/>
  </r>
  <r>
    <s v="ORD1585"/>
    <x v="328"/>
    <s v="CUST539"/>
    <s v="Ravi Kumar"/>
    <x v="1"/>
    <x v="5"/>
    <s v="Tamil Nadu"/>
    <x v="1"/>
    <x v="2"/>
    <x v="0"/>
    <n v="24475.48"/>
    <n v="2"/>
    <n v="0.12"/>
    <n v="979.02"/>
  </r>
  <r>
    <s v="ORD1840"/>
    <x v="61"/>
    <s v="CUST783"/>
    <s v="Neha Singh"/>
    <x v="1"/>
    <x v="5"/>
    <s v="Tamil Nadu"/>
    <x v="1"/>
    <x v="0"/>
    <x v="3"/>
    <n v="38536.17"/>
    <n v="6"/>
    <n v="0.17"/>
    <n v="578.04"/>
  </r>
  <r>
    <s v="ORD1283"/>
    <x v="246"/>
    <s v="CUST336"/>
    <s v="Ravi Kumar"/>
    <x v="0"/>
    <x v="3"/>
    <s v="Telangana"/>
    <x v="2"/>
    <x v="0"/>
    <x v="5"/>
    <n v="11769.41"/>
    <n v="7"/>
    <n v="0.24"/>
    <n v="-235.39"/>
  </r>
  <r>
    <s v="ORD1709"/>
    <x v="60"/>
    <s v="CUST690"/>
    <s v="Ravi Kumar"/>
    <x v="2"/>
    <x v="2"/>
    <s v="Delhi"/>
    <x v="2"/>
    <x v="2"/>
    <x v="3"/>
    <n v="31169.39"/>
    <n v="1"/>
    <n v="0.15"/>
    <n v="779.23"/>
  </r>
  <r>
    <s v="ORD1747"/>
    <x v="321"/>
    <s v="CUST942"/>
    <s v="Ravi Kumar"/>
    <x v="2"/>
    <x v="5"/>
    <s v="Tamil Nadu"/>
    <x v="1"/>
    <x v="0"/>
    <x v="1"/>
    <n v="26573.81"/>
    <n v="1"/>
    <n v="0.18"/>
    <n v="265.74"/>
  </r>
  <r>
    <s v="ORD2169"/>
    <x v="287"/>
    <s v="CUST151"/>
    <s v="Neha Singh"/>
    <x v="0"/>
    <x v="1"/>
    <s v="West Bengal"/>
    <x v="1"/>
    <x v="0"/>
    <x v="6"/>
    <n v="21530.15"/>
    <n v="7"/>
    <n v="0.15"/>
    <n v="538.25"/>
  </r>
  <r>
    <s v="ORD1968"/>
    <x v="315"/>
    <s v="CUST870"/>
    <s v="Rahul Das"/>
    <x v="0"/>
    <x v="3"/>
    <s v="Telangana"/>
    <x v="2"/>
    <x v="1"/>
    <x v="6"/>
    <n v="12567.4"/>
    <n v="4"/>
    <n v="0.2"/>
    <n v="0"/>
  </r>
  <r>
    <s v="ORD2238"/>
    <x v="339"/>
    <s v="CUST686"/>
    <s v="Rahul Das"/>
    <x v="0"/>
    <x v="5"/>
    <s v="Tamil Nadu"/>
    <x v="1"/>
    <x v="2"/>
    <x v="5"/>
    <n v="42795.82"/>
    <n v="6"/>
    <n v="0.26"/>
    <n v="-1283.8699999999999"/>
  </r>
  <r>
    <s v="ORD1013"/>
    <x v="304"/>
    <s v="CUST861"/>
    <s v="Ankit Roy"/>
    <x v="0"/>
    <x v="2"/>
    <s v="Delhi"/>
    <x v="2"/>
    <x v="0"/>
    <x v="4"/>
    <n v="27042.880000000001"/>
    <n v="10"/>
    <n v="0.17"/>
    <n v="405.64"/>
  </r>
  <r>
    <s v="ORD1049"/>
    <x v="296"/>
    <s v="CUST542"/>
    <s v="Sneha Paul"/>
    <x v="1"/>
    <x v="3"/>
    <s v="Telangana"/>
    <x v="2"/>
    <x v="0"/>
    <x v="3"/>
    <n v="39469.17"/>
    <n v="3"/>
    <n v="0.22"/>
    <n v="-394.69"/>
  </r>
  <r>
    <s v="ORD1379"/>
    <x v="141"/>
    <s v="CUST492"/>
    <s v="Ankit Roy"/>
    <x v="2"/>
    <x v="3"/>
    <s v="Telangana"/>
    <x v="2"/>
    <x v="2"/>
    <x v="0"/>
    <n v="18849.45"/>
    <n v="3"/>
    <n v="0.2"/>
    <n v="0"/>
  </r>
  <r>
    <s v="ORD1390"/>
    <x v="23"/>
    <s v="CUST385"/>
    <s v="Amit Sharma"/>
    <x v="2"/>
    <x v="5"/>
    <s v="Tamil Nadu"/>
    <x v="1"/>
    <x v="0"/>
    <x v="2"/>
    <n v="40558.120000000003"/>
    <n v="9"/>
    <n v="0.17"/>
    <n v="608.37"/>
  </r>
  <r>
    <s v="ORD1924"/>
    <x v="338"/>
    <s v="CUST984"/>
    <s v="Neha Singh"/>
    <x v="0"/>
    <x v="5"/>
    <s v="Tamil Nadu"/>
    <x v="1"/>
    <x v="1"/>
    <x v="1"/>
    <n v="21253.45"/>
    <n v="2"/>
    <n v="7.0000000000000007E-2"/>
    <n v="1381.47"/>
  </r>
  <r>
    <s v="ORD2410"/>
    <x v="336"/>
    <s v="CUST330"/>
    <s v="Sneha Paul"/>
    <x v="2"/>
    <x v="5"/>
    <s v="Tamil Nadu"/>
    <x v="1"/>
    <x v="1"/>
    <x v="5"/>
    <n v="16858.46"/>
    <n v="7"/>
    <n v="0.24"/>
    <n v="-337.17"/>
  </r>
  <r>
    <s v="ORD1716"/>
    <x v="42"/>
    <s v="CUST939"/>
    <s v="Sneha Paul"/>
    <x v="1"/>
    <x v="4"/>
    <s v="Karnataka"/>
    <x v="3"/>
    <x v="0"/>
    <x v="0"/>
    <n v="38811.83"/>
    <n v="8"/>
    <n v="0.28999999999999998"/>
    <n v="-1746.53"/>
  </r>
  <r>
    <s v="ORD1761"/>
    <x v="284"/>
    <s v="CUST861"/>
    <s v="Sneha Paul"/>
    <x v="0"/>
    <x v="4"/>
    <s v="Karnataka"/>
    <x v="3"/>
    <x v="0"/>
    <x v="0"/>
    <n v="33770.980000000003"/>
    <n v="5"/>
    <n v="0"/>
    <n v="3377.1"/>
  </r>
  <r>
    <s v="ORD2338"/>
    <x v="344"/>
    <s v="CUST834"/>
    <s v="Rahul Das"/>
    <x v="2"/>
    <x v="0"/>
    <s v="Maharashtra"/>
    <x v="0"/>
    <x v="0"/>
    <x v="5"/>
    <n v="20911.98"/>
    <n v="3"/>
    <n v="0.09"/>
    <n v="1150.1600000000001"/>
  </r>
  <r>
    <s v="ORD2021"/>
    <x v="1"/>
    <s v="CUST877"/>
    <s v="Neha Singh"/>
    <x v="2"/>
    <x v="5"/>
    <s v="Tamil Nadu"/>
    <x v="1"/>
    <x v="2"/>
    <x v="5"/>
    <n v="3580.83"/>
    <n v="6"/>
    <n v="0.09"/>
    <n v="196.95"/>
  </r>
  <r>
    <s v="ORD1492"/>
    <x v="333"/>
    <s v="CUST481"/>
    <s v="Neha Singh"/>
    <x v="1"/>
    <x v="2"/>
    <s v="Delhi"/>
    <x v="2"/>
    <x v="2"/>
    <x v="6"/>
    <n v="19500.28"/>
    <n v="2"/>
    <n v="0.09"/>
    <n v="1072.52"/>
  </r>
  <r>
    <s v="ORD2446"/>
    <x v="218"/>
    <s v="CUST429"/>
    <s v="Neha Singh"/>
    <x v="2"/>
    <x v="3"/>
    <s v="Telangana"/>
    <x v="2"/>
    <x v="1"/>
    <x v="6"/>
    <n v="20415.73"/>
    <n v="5"/>
    <n v="0.17"/>
    <n v="306.24"/>
  </r>
  <r>
    <s v="ORD1267"/>
    <x v="324"/>
    <s v="CUST839"/>
    <s v="Ravi Kumar"/>
    <x v="0"/>
    <x v="2"/>
    <s v="Delhi"/>
    <x v="2"/>
    <x v="1"/>
    <x v="1"/>
    <n v="11248.41"/>
    <n v="6"/>
    <n v="0.21"/>
    <n v="-56.24"/>
  </r>
  <r>
    <s v="ORD1280"/>
    <x v="311"/>
    <s v="CUST222"/>
    <s v="Ankit Roy"/>
    <x v="2"/>
    <x v="0"/>
    <s v="Maharashtra"/>
    <x v="0"/>
    <x v="1"/>
    <x v="0"/>
    <n v="37661.99"/>
    <n v="1"/>
    <n v="0.23"/>
    <n v="-564.92999999999995"/>
  </r>
  <r>
    <s v="ORD1225"/>
    <x v="198"/>
    <s v="CUST351"/>
    <s v="Ankit Roy"/>
    <x v="1"/>
    <x v="3"/>
    <s v="Telangana"/>
    <x v="2"/>
    <x v="1"/>
    <x v="1"/>
    <n v="49284.480000000003"/>
    <n v="1"/>
    <n v="0.06"/>
    <n v="3449.91"/>
  </r>
  <r>
    <s v="ORD1657"/>
    <x v="243"/>
    <s v="CUST569"/>
    <s v="Amit Sharma"/>
    <x v="0"/>
    <x v="0"/>
    <s v="Maharashtra"/>
    <x v="0"/>
    <x v="0"/>
    <x v="4"/>
    <n v="46635.57"/>
    <n v="7"/>
    <n v="0.26"/>
    <n v="-1399.07"/>
  </r>
  <r>
    <s v="ORD2037"/>
    <x v="184"/>
    <s v="CUST338"/>
    <s v="Ankit Roy"/>
    <x v="1"/>
    <x v="2"/>
    <s v="Delhi"/>
    <x v="2"/>
    <x v="1"/>
    <x v="4"/>
    <n v="6910.25"/>
    <n v="4"/>
    <n v="0.18"/>
    <n v="69.099999999999994"/>
  </r>
  <r>
    <s v="ORD2194"/>
    <x v="88"/>
    <s v="CUST932"/>
    <s v="Amit Sharma"/>
    <x v="0"/>
    <x v="4"/>
    <s v="Karnataka"/>
    <x v="3"/>
    <x v="2"/>
    <x v="0"/>
    <n v="12026.54"/>
    <n v="4"/>
    <n v="0.28000000000000003"/>
    <n v="-481.06"/>
  </r>
  <r>
    <s v="ORD2489"/>
    <x v="6"/>
    <s v="CUST312"/>
    <s v="Ankit Roy"/>
    <x v="0"/>
    <x v="2"/>
    <s v="Delhi"/>
    <x v="2"/>
    <x v="1"/>
    <x v="6"/>
    <n v="1826.68"/>
    <n v="3"/>
    <n v="0.13"/>
    <n v="63.93"/>
  </r>
  <r>
    <s v="ORD1279"/>
    <x v="50"/>
    <s v="CUST306"/>
    <s v="Ankit Roy"/>
    <x v="1"/>
    <x v="5"/>
    <s v="Tamil Nadu"/>
    <x v="1"/>
    <x v="0"/>
    <x v="6"/>
    <n v="46310.84"/>
    <n v="10"/>
    <n v="7.0000000000000007E-2"/>
    <n v="3010.2"/>
  </r>
  <r>
    <s v="ORD1907"/>
    <x v="148"/>
    <s v="CUST624"/>
    <s v="Neha Singh"/>
    <x v="2"/>
    <x v="1"/>
    <s v="West Bengal"/>
    <x v="1"/>
    <x v="1"/>
    <x v="0"/>
    <n v="46246.67"/>
    <n v="6"/>
    <n v="0.28000000000000003"/>
    <n v="-1849.87"/>
  </r>
  <r>
    <s v="ORD2306"/>
    <x v="137"/>
    <s v="CUST582"/>
    <s v="Amit Sharma"/>
    <x v="1"/>
    <x v="4"/>
    <s v="Karnataka"/>
    <x v="3"/>
    <x v="1"/>
    <x v="2"/>
    <n v="47042.8"/>
    <n v="7"/>
    <n v="0.04"/>
    <n v="3763.42"/>
  </r>
  <r>
    <s v="ORD1230"/>
    <x v="337"/>
    <s v="CUST182"/>
    <s v="Sneha Paul"/>
    <x v="0"/>
    <x v="4"/>
    <s v="Karnataka"/>
    <x v="3"/>
    <x v="1"/>
    <x v="0"/>
    <n v="30969.53"/>
    <n v="10"/>
    <n v="0.2"/>
    <n v="0"/>
  </r>
  <r>
    <s v="ORD1799"/>
    <x v="34"/>
    <s v="CUST742"/>
    <s v="Rahul Das"/>
    <x v="0"/>
    <x v="4"/>
    <s v="Karnataka"/>
    <x v="3"/>
    <x v="0"/>
    <x v="4"/>
    <n v="29852.43"/>
    <n v="9"/>
    <n v="0.21"/>
    <n v="-149.26"/>
  </r>
  <r>
    <s v="ORD1827"/>
    <x v="254"/>
    <s v="CUST761"/>
    <s v="Amit Sharma"/>
    <x v="2"/>
    <x v="3"/>
    <s v="Telangana"/>
    <x v="2"/>
    <x v="2"/>
    <x v="6"/>
    <n v="11108.36"/>
    <n v="2"/>
    <n v="0.02"/>
    <n v="999.75"/>
  </r>
  <r>
    <s v="ORD2123"/>
    <x v="304"/>
    <s v="CUST621"/>
    <s v="Sneha Paul"/>
    <x v="2"/>
    <x v="1"/>
    <s v="West Bengal"/>
    <x v="1"/>
    <x v="2"/>
    <x v="2"/>
    <n v="7788.02"/>
    <n v="9"/>
    <n v="0.06"/>
    <n v="545.16"/>
  </r>
  <r>
    <s v="ORD2289"/>
    <x v="14"/>
    <s v="CUST315"/>
    <s v="Rahul Das"/>
    <x v="0"/>
    <x v="5"/>
    <s v="Tamil Nadu"/>
    <x v="1"/>
    <x v="0"/>
    <x v="4"/>
    <n v="23032.05"/>
    <n v="6"/>
    <n v="0.2"/>
    <n v="0"/>
  </r>
  <r>
    <s v="ORD2325"/>
    <x v="345"/>
    <s v="CUST253"/>
    <s v="Amit Sharma"/>
    <x v="1"/>
    <x v="1"/>
    <s v="West Bengal"/>
    <x v="1"/>
    <x v="2"/>
    <x v="2"/>
    <n v="27816.47"/>
    <n v="1"/>
    <n v="0.19"/>
    <n v="139.08000000000001"/>
  </r>
  <r>
    <s v="ORD1160"/>
    <x v="64"/>
    <s v="CUST125"/>
    <s v="Ankit Roy"/>
    <x v="1"/>
    <x v="0"/>
    <s v="Maharashtra"/>
    <x v="0"/>
    <x v="0"/>
    <x v="2"/>
    <n v="16506.490000000002"/>
    <n v="9"/>
    <n v="0.25"/>
    <n v="-412.66"/>
  </r>
  <r>
    <s v="ORD1515"/>
    <x v="43"/>
    <s v="CUST321"/>
    <s v="Sneha Paul"/>
    <x v="2"/>
    <x v="0"/>
    <s v="Maharashtra"/>
    <x v="0"/>
    <x v="1"/>
    <x v="0"/>
    <n v="42998.62"/>
    <n v="7"/>
    <n v="0.26"/>
    <n v="-1289.96"/>
  </r>
  <r>
    <s v="ORD1572"/>
    <x v="199"/>
    <s v="CUST316"/>
    <s v="Ravi Kumar"/>
    <x v="0"/>
    <x v="4"/>
    <s v="Karnataka"/>
    <x v="3"/>
    <x v="2"/>
    <x v="6"/>
    <n v="20583.45"/>
    <n v="3"/>
    <n v="0.22"/>
    <n v="-205.83"/>
  </r>
  <r>
    <s v="ORD1690"/>
    <x v="346"/>
    <s v="CUST446"/>
    <s v="Ravi Kumar"/>
    <x v="0"/>
    <x v="4"/>
    <s v="Karnataka"/>
    <x v="3"/>
    <x v="0"/>
    <x v="4"/>
    <n v="16681.740000000002"/>
    <n v="5"/>
    <n v="0.17"/>
    <n v="250.23"/>
  </r>
  <r>
    <s v="ORD2175"/>
    <x v="94"/>
    <s v="CUST653"/>
    <s v="Pooja Verma"/>
    <x v="2"/>
    <x v="4"/>
    <s v="Karnataka"/>
    <x v="3"/>
    <x v="0"/>
    <x v="0"/>
    <n v="555.61"/>
    <n v="9"/>
    <n v="0.28999999999999998"/>
    <n v="-25"/>
  </r>
  <r>
    <s v="ORD1918"/>
    <x v="107"/>
    <s v="CUST660"/>
    <s v="Rahul Das"/>
    <x v="1"/>
    <x v="1"/>
    <s v="West Bengal"/>
    <x v="1"/>
    <x v="1"/>
    <x v="5"/>
    <n v="26064.57"/>
    <n v="8"/>
    <n v="0.02"/>
    <n v="2345.81"/>
  </r>
  <r>
    <s v="ORD2407"/>
    <x v="332"/>
    <s v="CUST648"/>
    <s v="Sneha Paul"/>
    <x v="1"/>
    <x v="4"/>
    <s v="Karnataka"/>
    <x v="3"/>
    <x v="0"/>
    <x v="6"/>
    <n v="3545.92"/>
    <n v="7"/>
    <n v="0.26"/>
    <n v="-106.38"/>
  </r>
  <r>
    <s v="ORD2462"/>
    <x v="183"/>
    <s v="CUST240"/>
    <s v="Ravi Kumar"/>
    <x v="2"/>
    <x v="5"/>
    <s v="Tamil Nadu"/>
    <x v="1"/>
    <x v="0"/>
    <x v="1"/>
    <n v="45761.22"/>
    <n v="1"/>
    <n v="0.14000000000000001"/>
    <n v="1372.84"/>
  </r>
  <r>
    <s v="ORD1026"/>
    <x v="141"/>
    <s v="CUST695"/>
    <s v="Neha Singh"/>
    <x v="1"/>
    <x v="4"/>
    <s v="Karnataka"/>
    <x v="3"/>
    <x v="0"/>
    <x v="6"/>
    <n v="14072.11"/>
    <n v="2"/>
    <n v="0.01"/>
    <n v="1336.85"/>
  </r>
  <r>
    <s v="ORD1038"/>
    <x v="190"/>
    <s v="CUST215"/>
    <s v="Rahul Das"/>
    <x v="1"/>
    <x v="0"/>
    <s v="Maharashtra"/>
    <x v="0"/>
    <x v="0"/>
    <x v="2"/>
    <n v="37170.86"/>
    <n v="3"/>
    <n v="0.12"/>
    <n v="1486.83"/>
  </r>
  <r>
    <s v="ORD1832"/>
    <x v="89"/>
    <s v="CUST940"/>
    <s v="Neha Singh"/>
    <x v="2"/>
    <x v="4"/>
    <s v="Karnataka"/>
    <x v="3"/>
    <x v="2"/>
    <x v="0"/>
    <n v="40639.11"/>
    <n v="5"/>
    <n v="0.25"/>
    <n v="-1015.98"/>
  </r>
  <r>
    <s v="ORD1854"/>
    <x v="347"/>
    <s v="CUST716"/>
    <s v="Rahul Das"/>
    <x v="0"/>
    <x v="4"/>
    <s v="Karnataka"/>
    <x v="3"/>
    <x v="0"/>
    <x v="2"/>
    <n v="46089.73"/>
    <n v="2"/>
    <n v="0.25"/>
    <n v="-1152.24"/>
  </r>
  <r>
    <s v="ORD2076"/>
    <x v="223"/>
    <s v="CUST818"/>
    <s v="Pooja Verma"/>
    <x v="1"/>
    <x v="3"/>
    <s v="Telangana"/>
    <x v="2"/>
    <x v="1"/>
    <x v="4"/>
    <n v="40723.5"/>
    <n v="6"/>
    <n v="0.05"/>
    <n v="3054.26"/>
  </r>
  <r>
    <s v="ORD1711"/>
    <x v="164"/>
    <s v="CUST558"/>
    <s v="Ankit Roy"/>
    <x v="1"/>
    <x v="2"/>
    <s v="Delhi"/>
    <x v="2"/>
    <x v="0"/>
    <x v="0"/>
    <n v="6713.41"/>
    <n v="4"/>
    <n v="0.01"/>
    <n v="637.77"/>
  </r>
  <r>
    <s v="ORD2352"/>
    <x v="301"/>
    <s v="CUST704"/>
    <s v="Rahul Das"/>
    <x v="1"/>
    <x v="3"/>
    <s v="Telangana"/>
    <x v="2"/>
    <x v="2"/>
    <x v="3"/>
    <n v="39572.94"/>
    <n v="3"/>
    <n v="0.02"/>
    <n v="3561.56"/>
  </r>
  <r>
    <s v="ORD1103"/>
    <x v="145"/>
    <s v="CUST335"/>
    <s v="Ravi Kumar"/>
    <x v="2"/>
    <x v="0"/>
    <s v="Maharashtra"/>
    <x v="0"/>
    <x v="0"/>
    <x v="0"/>
    <n v="31449.759999999998"/>
    <n v="6"/>
    <n v="0.08"/>
    <n v="1886.99"/>
  </r>
  <r>
    <s v="ORD1108"/>
    <x v="116"/>
    <s v="CUST494"/>
    <s v="Pooja Verma"/>
    <x v="2"/>
    <x v="4"/>
    <s v="Karnataka"/>
    <x v="3"/>
    <x v="1"/>
    <x v="6"/>
    <n v="34162.629999999997"/>
    <n v="1"/>
    <n v="0.06"/>
    <n v="2391.38"/>
  </r>
  <r>
    <s v="ORD2090"/>
    <x v="205"/>
    <s v="CUST952"/>
    <s v="Sneha Paul"/>
    <x v="2"/>
    <x v="1"/>
    <s v="West Bengal"/>
    <x v="1"/>
    <x v="0"/>
    <x v="6"/>
    <n v="10277.06"/>
    <n v="10"/>
    <n v="0.06"/>
    <n v="719.39"/>
  </r>
  <r>
    <s v="ORD2215"/>
    <x v="81"/>
    <s v="CUST389"/>
    <s v="Ravi Kumar"/>
    <x v="0"/>
    <x v="4"/>
    <s v="Karnataka"/>
    <x v="3"/>
    <x v="1"/>
    <x v="6"/>
    <n v="33517.83"/>
    <n v="6"/>
    <n v="0.15"/>
    <n v="837.95"/>
  </r>
  <r>
    <s v="ORD1565"/>
    <x v="87"/>
    <s v="CUST611"/>
    <s v="Sneha Paul"/>
    <x v="1"/>
    <x v="4"/>
    <s v="Karnataka"/>
    <x v="3"/>
    <x v="2"/>
    <x v="1"/>
    <n v="32319.59"/>
    <n v="1"/>
    <n v="0.01"/>
    <n v="3070.36"/>
  </r>
  <r>
    <s v="ORD1660"/>
    <x v="348"/>
    <s v="CUST939"/>
    <s v="Neha Singh"/>
    <x v="1"/>
    <x v="2"/>
    <s v="Delhi"/>
    <x v="2"/>
    <x v="2"/>
    <x v="6"/>
    <n v="33529.58"/>
    <n v="9"/>
    <n v="0.18"/>
    <n v="335.3"/>
  </r>
  <r>
    <s v="ORD2049"/>
    <x v="86"/>
    <s v="CUST347"/>
    <s v="Amit Sharma"/>
    <x v="2"/>
    <x v="2"/>
    <s v="Delhi"/>
    <x v="2"/>
    <x v="2"/>
    <x v="1"/>
    <n v="8346.6299999999992"/>
    <n v="2"/>
    <n v="0.03"/>
    <n v="709.46"/>
  </r>
  <r>
    <s v="ORD2057"/>
    <x v="172"/>
    <s v="CUST132"/>
    <s v="Sneha Paul"/>
    <x v="1"/>
    <x v="0"/>
    <s v="Maharashtra"/>
    <x v="0"/>
    <x v="0"/>
    <x v="0"/>
    <n v="36681.519999999997"/>
    <n v="4"/>
    <n v="0.02"/>
    <n v="3301.34"/>
  </r>
  <r>
    <s v="ORD2129"/>
    <x v="324"/>
    <s v="CUST648"/>
    <s v="Ankit Roy"/>
    <x v="1"/>
    <x v="1"/>
    <s v="West Bengal"/>
    <x v="1"/>
    <x v="2"/>
    <x v="3"/>
    <n v="21149.87"/>
    <n v="10"/>
    <n v="0.04"/>
    <n v="1691.99"/>
  </r>
  <r>
    <s v="ORD2372"/>
    <x v="1"/>
    <s v="CUST411"/>
    <s v="Ravi Kumar"/>
    <x v="0"/>
    <x v="2"/>
    <s v="Delhi"/>
    <x v="2"/>
    <x v="2"/>
    <x v="6"/>
    <n v="33046.019999999997"/>
    <n v="1"/>
    <n v="0.09"/>
    <n v="1817.53"/>
  </r>
  <r>
    <s v="ORD1120"/>
    <x v="42"/>
    <s v="CUST757"/>
    <s v="Neha Singh"/>
    <x v="2"/>
    <x v="2"/>
    <s v="Delhi"/>
    <x v="2"/>
    <x v="0"/>
    <x v="5"/>
    <n v="2691.79"/>
    <n v="5"/>
    <n v="0.02"/>
    <n v="242.26"/>
  </r>
  <r>
    <s v="ORD1505"/>
    <x v="310"/>
    <s v="CUST210"/>
    <s v="Pooja Verma"/>
    <x v="1"/>
    <x v="3"/>
    <s v="Telangana"/>
    <x v="2"/>
    <x v="1"/>
    <x v="2"/>
    <n v="13215.89"/>
    <n v="1"/>
    <n v="0.17"/>
    <n v="198.24"/>
  </r>
  <r>
    <s v="ORD2276"/>
    <x v="45"/>
    <s v="CUST145"/>
    <s v="Ankit Roy"/>
    <x v="1"/>
    <x v="2"/>
    <s v="Delhi"/>
    <x v="2"/>
    <x v="0"/>
    <x v="0"/>
    <n v="41503.01"/>
    <n v="7"/>
    <n v="0.25"/>
    <n v="-1037.58"/>
  </r>
  <r>
    <s v="ORD1321"/>
    <x v="88"/>
    <s v="CUST323"/>
    <s v="Neha Singh"/>
    <x v="1"/>
    <x v="1"/>
    <s v="West Bengal"/>
    <x v="1"/>
    <x v="0"/>
    <x v="2"/>
    <n v="27921.15"/>
    <n v="10"/>
    <n v="0.28000000000000003"/>
    <n v="-1116.8499999999999"/>
  </r>
  <r>
    <s v="ORD1455"/>
    <x v="293"/>
    <s v="CUST362"/>
    <s v="Ravi Kumar"/>
    <x v="2"/>
    <x v="3"/>
    <s v="Telangana"/>
    <x v="2"/>
    <x v="0"/>
    <x v="5"/>
    <n v="41302.959999999999"/>
    <n v="3"/>
    <n v="0.04"/>
    <n v="3304.24"/>
  </r>
  <r>
    <s v="ORD1853"/>
    <x v="349"/>
    <s v="CUST287"/>
    <s v="Ravi Kumar"/>
    <x v="1"/>
    <x v="3"/>
    <s v="Telangana"/>
    <x v="2"/>
    <x v="1"/>
    <x v="2"/>
    <n v="3913.49"/>
    <n v="3"/>
    <n v="0.01"/>
    <n v="371.78"/>
  </r>
  <r>
    <s v="ORD2326"/>
    <x v="278"/>
    <s v="CUST141"/>
    <s v="Neha Singh"/>
    <x v="0"/>
    <x v="2"/>
    <s v="Delhi"/>
    <x v="2"/>
    <x v="0"/>
    <x v="5"/>
    <n v="47091.33"/>
    <n v="9"/>
    <n v="0.08"/>
    <n v="2825.48"/>
  </r>
  <r>
    <s v="ORD2395"/>
    <x v="249"/>
    <s v="CUST697"/>
    <s v="Sneha Paul"/>
    <x v="0"/>
    <x v="4"/>
    <s v="Karnataka"/>
    <x v="3"/>
    <x v="0"/>
    <x v="1"/>
    <n v="1006.03"/>
    <n v="1"/>
    <n v="0.19"/>
    <n v="5.03"/>
  </r>
  <r>
    <s v="ORD1124"/>
    <x v="29"/>
    <s v="CUST599"/>
    <s v="Rahul Das"/>
    <x v="0"/>
    <x v="0"/>
    <s v="Maharashtra"/>
    <x v="0"/>
    <x v="2"/>
    <x v="1"/>
    <n v="31044.37"/>
    <n v="1"/>
    <n v="7.0000000000000007E-2"/>
    <n v="2017.88"/>
  </r>
  <r>
    <s v="ORD1979"/>
    <x v="140"/>
    <s v="CUST423"/>
    <s v="Amit Sharma"/>
    <x v="0"/>
    <x v="5"/>
    <s v="Tamil Nadu"/>
    <x v="1"/>
    <x v="1"/>
    <x v="4"/>
    <n v="12071.12"/>
    <n v="1"/>
    <n v="0"/>
    <n v="1207.1099999999999"/>
  </r>
  <r>
    <s v="ORD1229"/>
    <x v="167"/>
    <s v="CUST410"/>
    <s v="Rahul Das"/>
    <x v="0"/>
    <x v="5"/>
    <s v="Tamil Nadu"/>
    <x v="1"/>
    <x v="2"/>
    <x v="0"/>
    <n v="664.91"/>
    <n v="4"/>
    <n v="0.09"/>
    <n v="36.57"/>
  </r>
  <r>
    <s v="ORD2118"/>
    <x v="350"/>
    <s v="CUST292"/>
    <s v="Ravi Kumar"/>
    <x v="1"/>
    <x v="0"/>
    <s v="Maharashtra"/>
    <x v="0"/>
    <x v="0"/>
    <x v="0"/>
    <n v="19799.7"/>
    <n v="8"/>
    <n v="7.0000000000000007E-2"/>
    <n v="1286.98"/>
  </r>
  <r>
    <s v="ORD2467"/>
    <x v="220"/>
    <s v="CUST987"/>
    <s v="Amit Sharma"/>
    <x v="1"/>
    <x v="2"/>
    <s v="Delhi"/>
    <x v="2"/>
    <x v="1"/>
    <x v="2"/>
    <n v="31655.38"/>
    <n v="2"/>
    <n v="0.18"/>
    <n v="316.55"/>
  </r>
  <r>
    <s v="ORD2421"/>
    <x v="46"/>
    <s v="CUST817"/>
    <s v="Pooja Verma"/>
    <x v="0"/>
    <x v="4"/>
    <s v="Karnataka"/>
    <x v="3"/>
    <x v="0"/>
    <x v="3"/>
    <n v="26100.42"/>
    <n v="7"/>
    <n v="0.03"/>
    <n v="2218.54"/>
  </r>
  <r>
    <s v="ORD1790"/>
    <x v="160"/>
    <s v="CUST703"/>
    <s v="Ravi Kumar"/>
    <x v="2"/>
    <x v="0"/>
    <s v="Maharashtra"/>
    <x v="0"/>
    <x v="1"/>
    <x v="3"/>
    <n v="39422.879999999997"/>
    <n v="1"/>
    <n v="0.16"/>
    <n v="788.46"/>
  </r>
  <r>
    <s v="ORD1281"/>
    <x v="200"/>
    <s v="CUST771"/>
    <s v="Neha Singh"/>
    <x v="0"/>
    <x v="4"/>
    <s v="Karnataka"/>
    <x v="3"/>
    <x v="0"/>
    <x v="5"/>
    <n v="22627.81"/>
    <n v="5"/>
    <n v="0.27"/>
    <n v="-791.97"/>
  </r>
  <r>
    <s v="ORD1916"/>
    <x v="175"/>
    <s v="CUST654"/>
    <s v="Neha Singh"/>
    <x v="2"/>
    <x v="1"/>
    <s v="West Bengal"/>
    <x v="1"/>
    <x v="1"/>
    <x v="4"/>
    <n v="18821.96"/>
    <n v="8"/>
    <n v="7.0000000000000007E-2"/>
    <n v="1223.43"/>
  </r>
  <r>
    <s v="ORD2174"/>
    <x v="192"/>
    <s v="CUST500"/>
    <s v="Rahul Das"/>
    <x v="2"/>
    <x v="3"/>
    <s v="Telangana"/>
    <x v="2"/>
    <x v="2"/>
    <x v="6"/>
    <n v="37148.86"/>
    <n v="2"/>
    <n v="0.24"/>
    <n v="-742.98"/>
  </r>
  <r>
    <s v="ORD1405"/>
    <x v="103"/>
    <s v="CUST999"/>
    <s v="Pooja Verma"/>
    <x v="1"/>
    <x v="4"/>
    <s v="Karnataka"/>
    <x v="3"/>
    <x v="0"/>
    <x v="6"/>
    <n v="17624.810000000001"/>
    <n v="8"/>
    <n v="0.05"/>
    <n v="1321.86"/>
  </r>
  <r>
    <s v="ORD1474"/>
    <x v="17"/>
    <s v="CUST157"/>
    <s v="Ankit Roy"/>
    <x v="2"/>
    <x v="0"/>
    <s v="Maharashtra"/>
    <x v="0"/>
    <x v="1"/>
    <x v="3"/>
    <n v="48245.07"/>
    <n v="3"/>
    <n v="0.19"/>
    <n v="241.23"/>
  </r>
  <r>
    <s v="ORD1599"/>
    <x v="325"/>
    <s v="CUST113"/>
    <s v="Amit Sharma"/>
    <x v="1"/>
    <x v="0"/>
    <s v="Maharashtra"/>
    <x v="0"/>
    <x v="0"/>
    <x v="6"/>
    <n v="49736.38"/>
    <n v="1"/>
    <n v="0.22"/>
    <n v="-497.36"/>
  </r>
  <r>
    <s v="ORD1603"/>
    <x v="205"/>
    <s v="CUST957"/>
    <s v="Ravi Kumar"/>
    <x v="1"/>
    <x v="0"/>
    <s v="Maharashtra"/>
    <x v="0"/>
    <x v="1"/>
    <x v="3"/>
    <n v="7284.88"/>
    <n v="9"/>
    <n v="0.28999999999999998"/>
    <n v="-327.82"/>
  </r>
  <r>
    <s v="ORD1484"/>
    <x v="284"/>
    <s v="CUST520"/>
    <s v="Pooja Verma"/>
    <x v="0"/>
    <x v="0"/>
    <s v="Maharashtra"/>
    <x v="0"/>
    <x v="2"/>
    <x v="6"/>
    <n v="44441.52"/>
    <n v="5"/>
    <n v="0.1"/>
    <n v="2222.08"/>
  </r>
  <r>
    <s v="ORD1787"/>
    <x v="223"/>
    <s v="CUST742"/>
    <s v="Sneha Paul"/>
    <x v="0"/>
    <x v="0"/>
    <s v="Maharashtra"/>
    <x v="0"/>
    <x v="1"/>
    <x v="3"/>
    <n v="34167.29"/>
    <n v="5"/>
    <n v="0.28000000000000003"/>
    <n v="-1366.69"/>
  </r>
  <r>
    <s v="ORD1893"/>
    <x v="232"/>
    <s v="CUST385"/>
    <s v="Sneha Paul"/>
    <x v="1"/>
    <x v="0"/>
    <s v="Maharashtra"/>
    <x v="0"/>
    <x v="1"/>
    <x v="5"/>
    <n v="12349.66"/>
    <n v="5"/>
    <n v="0.01"/>
    <n v="1173.22"/>
  </r>
  <r>
    <s v="ORD2204"/>
    <x v="218"/>
    <s v="CUST299"/>
    <s v="Rahul Das"/>
    <x v="0"/>
    <x v="5"/>
    <s v="Tamil Nadu"/>
    <x v="1"/>
    <x v="2"/>
    <x v="0"/>
    <n v="41942.42"/>
    <n v="7"/>
    <n v="0.13"/>
    <n v="1467.98"/>
  </r>
  <r>
    <s v="ORD1483"/>
    <x v="167"/>
    <s v="CUST735"/>
    <s v="Ankit Roy"/>
    <x v="1"/>
    <x v="2"/>
    <s v="Delhi"/>
    <x v="2"/>
    <x v="0"/>
    <x v="1"/>
    <n v="46249.99"/>
    <n v="7"/>
    <n v="0.16"/>
    <n v="925"/>
  </r>
  <r>
    <s v="ORD1592"/>
    <x v="127"/>
    <s v="CUST364"/>
    <s v="Ankit Roy"/>
    <x v="2"/>
    <x v="2"/>
    <s v="Delhi"/>
    <x v="2"/>
    <x v="2"/>
    <x v="3"/>
    <n v="31748.49"/>
    <n v="1"/>
    <n v="0.03"/>
    <n v="2698.62"/>
  </r>
  <r>
    <s v="ORD1849"/>
    <x v="91"/>
    <s v="CUST898"/>
    <s v="Amit Sharma"/>
    <x v="0"/>
    <x v="5"/>
    <s v="Tamil Nadu"/>
    <x v="1"/>
    <x v="1"/>
    <x v="2"/>
    <n v="26059.01"/>
    <n v="7"/>
    <n v="0.05"/>
    <n v="1954.43"/>
  </r>
  <r>
    <s v="ORD1885"/>
    <x v="247"/>
    <s v="CUST575"/>
    <s v="Amit Sharma"/>
    <x v="2"/>
    <x v="0"/>
    <s v="Maharashtra"/>
    <x v="0"/>
    <x v="0"/>
    <x v="1"/>
    <n v="12421.99"/>
    <n v="8"/>
    <n v="7.0000000000000007E-2"/>
    <n v="807.43"/>
  </r>
  <r>
    <s v="ORD2392"/>
    <x v="82"/>
    <s v="CUST863"/>
    <s v="Pooja Verma"/>
    <x v="1"/>
    <x v="3"/>
    <s v="Telangana"/>
    <x v="2"/>
    <x v="1"/>
    <x v="3"/>
    <n v="23634.92"/>
    <n v="6"/>
    <n v="0.04"/>
    <n v="1890.79"/>
  </r>
  <r>
    <s v="ORD2406"/>
    <x v="260"/>
    <s v="CUST872"/>
    <s v="Neha Singh"/>
    <x v="0"/>
    <x v="5"/>
    <s v="Tamil Nadu"/>
    <x v="1"/>
    <x v="2"/>
    <x v="6"/>
    <n v="31460.73"/>
    <n v="7"/>
    <n v="0.12"/>
    <n v="1258.43"/>
  </r>
  <r>
    <s v="ORD1270"/>
    <x v="336"/>
    <s v="CUST232"/>
    <s v="Neha Singh"/>
    <x v="1"/>
    <x v="3"/>
    <s v="Telangana"/>
    <x v="2"/>
    <x v="0"/>
    <x v="6"/>
    <n v="17652.080000000002"/>
    <n v="6"/>
    <n v="0.12"/>
    <n v="706.08"/>
  </r>
  <r>
    <s v="ORD1562"/>
    <x v="245"/>
    <s v="CUST602"/>
    <s v="Pooja Verma"/>
    <x v="1"/>
    <x v="5"/>
    <s v="Tamil Nadu"/>
    <x v="1"/>
    <x v="1"/>
    <x v="6"/>
    <n v="18510.5"/>
    <n v="7"/>
    <n v="0.21"/>
    <n v="-92.55"/>
  </r>
  <r>
    <s v="ORD2107"/>
    <x v="303"/>
    <s v="CUST168"/>
    <s v="Rahul Das"/>
    <x v="2"/>
    <x v="5"/>
    <s v="Tamil Nadu"/>
    <x v="1"/>
    <x v="1"/>
    <x v="4"/>
    <n v="18413.05"/>
    <n v="6"/>
    <n v="0.28000000000000003"/>
    <n v="-736.52"/>
  </r>
  <r>
    <s v="ORD1067"/>
    <x v="243"/>
    <s v="CUST961"/>
    <s v="Sneha Paul"/>
    <x v="0"/>
    <x v="5"/>
    <s v="Tamil Nadu"/>
    <x v="1"/>
    <x v="1"/>
    <x v="0"/>
    <n v="13857.85"/>
    <n v="6"/>
    <n v="0.12"/>
    <n v="554.30999999999995"/>
  </r>
  <r>
    <s v="ORD1238"/>
    <x v="148"/>
    <s v="CUST255"/>
    <s v="Pooja Verma"/>
    <x v="0"/>
    <x v="0"/>
    <s v="Maharashtra"/>
    <x v="0"/>
    <x v="2"/>
    <x v="4"/>
    <n v="5871.46"/>
    <n v="9"/>
    <n v="0.2"/>
    <n v="0"/>
  </r>
  <r>
    <s v="ORD1481"/>
    <x v="153"/>
    <s v="CUST340"/>
    <s v="Amit Sharma"/>
    <x v="0"/>
    <x v="4"/>
    <s v="Karnataka"/>
    <x v="3"/>
    <x v="1"/>
    <x v="3"/>
    <n v="1425.04"/>
    <n v="8"/>
    <n v="0.06"/>
    <n v="99.75"/>
  </r>
  <r>
    <s v="ORD2007"/>
    <x v="28"/>
    <s v="CUST742"/>
    <s v="Amit Sharma"/>
    <x v="0"/>
    <x v="0"/>
    <s v="Maharashtra"/>
    <x v="0"/>
    <x v="1"/>
    <x v="3"/>
    <n v="11985.88"/>
    <n v="10"/>
    <n v="0.01"/>
    <n v="1138.6600000000001"/>
  </r>
  <r>
    <s v="ORD2280"/>
    <x v="17"/>
    <s v="CUST147"/>
    <s v="Amit Sharma"/>
    <x v="0"/>
    <x v="2"/>
    <s v="Delhi"/>
    <x v="2"/>
    <x v="2"/>
    <x v="6"/>
    <n v="44335.43"/>
    <n v="9"/>
    <n v="0.15"/>
    <n v="1108.3900000000001"/>
  </r>
  <r>
    <s v="ORD2287"/>
    <x v="308"/>
    <s v="CUST715"/>
    <s v="Rahul Das"/>
    <x v="1"/>
    <x v="5"/>
    <s v="Tamil Nadu"/>
    <x v="1"/>
    <x v="2"/>
    <x v="5"/>
    <n v="41917.03"/>
    <n v="8"/>
    <n v="0.28000000000000003"/>
    <n v="-1676.68"/>
  </r>
  <r>
    <s v="ORD2292"/>
    <x v="265"/>
    <s v="CUST587"/>
    <s v="Pooja Verma"/>
    <x v="1"/>
    <x v="3"/>
    <s v="Telangana"/>
    <x v="2"/>
    <x v="0"/>
    <x v="1"/>
    <n v="10438.290000000001"/>
    <n v="8"/>
    <n v="0.02"/>
    <n v="939.45"/>
  </r>
  <r>
    <s v="ORD1183"/>
    <x v="192"/>
    <s v="CUST366"/>
    <s v="Ankit Roy"/>
    <x v="0"/>
    <x v="1"/>
    <s v="West Bengal"/>
    <x v="1"/>
    <x v="1"/>
    <x v="4"/>
    <n v="25989.56"/>
    <n v="9"/>
    <n v="0.13"/>
    <n v="909.63"/>
  </r>
  <r>
    <s v="ORD1349"/>
    <x v="52"/>
    <s v="CUST847"/>
    <s v="Ankit Roy"/>
    <x v="2"/>
    <x v="5"/>
    <s v="Tamil Nadu"/>
    <x v="1"/>
    <x v="0"/>
    <x v="1"/>
    <n v="15011.85"/>
    <n v="4"/>
    <n v="0.28999999999999998"/>
    <n v="-675.53"/>
  </r>
  <r>
    <s v="ORD2179"/>
    <x v="314"/>
    <s v="CUST622"/>
    <s v="Neha Singh"/>
    <x v="2"/>
    <x v="5"/>
    <s v="Tamil Nadu"/>
    <x v="1"/>
    <x v="1"/>
    <x v="5"/>
    <n v="13381.63"/>
    <n v="1"/>
    <n v="0.21"/>
    <n v="-66.91"/>
  </r>
  <r>
    <s v="ORD2301"/>
    <x v="351"/>
    <s v="CUST977"/>
    <s v="Neha Singh"/>
    <x v="2"/>
    <x v="5"/>
    <s v="Tamil Nadu"/>
    <x v="1"/>
    <x v="2"/>
    <x v="4"/>
    <n v="6126.7"/>
    <n v="3"/>
    <n v="0.28000000000000003"/>
    <n v="-245.07"/>
  </r>
  <r>
    <s v="ORD1272"/>
    <x v="272"/>
    <s v="CUST516"/>
    <s v="Amit Sharma"/>
    <x v="2"/>
    <x v="1"/>
    <s v="West Bengal"/>
    <x v="1"/>
    <x v="2"/>
    <x v="6"/>
    <n v="20625.689999999999"/>
    <n v="3"/>
    <n v="0.19"/>
    <n v="103.13"/>
  </r>
  <r>
    <s v="ORD1925"/>
    <x v="320"/>
    <s v="CUST298"/>
    <s v="Amit Sharma"/>
    <x v="0"/>
    <x v="2"/>
    <s v="Delhi"/>
    <x v="2"/>
    <x v="0"/>
    <x v="6"/>
    <n v="28412.32"/>
    <n v="6"/>
    <n v="0.03"/>
    <n v="2415.0500000000002"/>
  </r>
  <r>
    <s v="ORD1958"/>
    <x v="202"/>
    <s v="CUST465"/>
    <s v="Sneha Paul"/>
    <x v="2"/>
    <x v="2"/>
    <s v="Delhi"/>
    <x v="2"/>
    <x v="0"/>
    <x v="1"/>
    <n v="25748.5"/>
    <n v="4"/>
    <n v="0.27"/>
    <n v="-901.2"/>
  </r>
  <r>
    <s v="ORD2282"/>
    <x v="10"/>
    <s v="CUST709"/>
    <s v="Sneha Paul"/>
    <x v="0"/>
    <x v="0"/>
    <s v="Maharashtra"/>
    <x v="0"/>
    <x v="0"/>
    <x v="1"/>
    <n v="24301.05"/>
    <n v="9"/>
    <n v="0.2"/>
    <n v="0"/>
  </r>
  <r>
    <s v="ORD1823"/>
    <x v="240"/>
    <s v="CUST710"/>
    <s v="Pooja Verma"/>
    <x v="1"/>
    <x v="1"/>
    <s v="West Bengal"/>
    <x v="1"/>
    <x v="0"/>
    <x v="0"/>
    <n v="12380.77"/>
    <n v="6"/>
    <n v="0.03"/>
    <n v="1052.3699999999999"/>
  </r>
  <r>
    <s v="ORD2038"/>
    <x v="93"/>
    <s v="CUST932"/>
    <s v="Ankit Roy"/>
    <x v="0"/>
    <x v="4"/>
    <s v="Karnataka"/>
    <x v="3"/>
    <x v="0"/>
    <x v="0"/>
    <n v="17553.91"/>
    <n v="7"/>
    <n v="0.15"/>
    <n v="438.85"/>
  </r>
  <r>
    <s v="ORD1128"/>
    <x v="149"/>
    <s v="CUST661"/>
    <s v="Rahul Das"/>
    <x v="2"/>
    <x v="1"/>
    <s v="West Bengal"/>
    <x v="1"/>
    <x v="2"/>
    <x v="0"/>
    <n v="5376.85"/>
    <n v="10"/>
    <n v="0.27"/>
    <n v="-188.19"/>
  </r>
  <r>
    <s v="ORD1472"/>
    <x v="53"/>
    <s v="CUST463"/>
    <s v="Pooja Verma"/>
    <x v="1"/>
    <x v="1"/>
    <s v="West Bengal"/>
    <x v="1"/>
    <x v="0"/>
    <x v="5"/>
    <n v="42423.13"/>
    <n v="1"/>
    <n v="0.02"/>
    <n v="3818.08"/>
  </r>
  <r>
    <s v="ORD1533"/>
    <x v="229"/>
    <s v="CUST203"/>
    <s v="Rahul Das"/>
    <x v="0"/>
    <x v="2"/>
    <s v="Delhi"/>
    <x v="2"/>
    <x v="1"/>
    <x v="2"/>
    <n v="43962.7"/>
    <n v="6"/>
    <n v="0.09"/>
    <n v="2417.9499999999998"/>
  </r>
  <r>
    <s v="ORD1929"/>
    <x v="12"/>
    <s v="CUST859"/>
    <s v="Pooja Verma"/>
    <x v="2"/>
    <x v="2"/>
    <s v="Delhi"/>
    <x v="2"/>
    <x v="1"/>
    <x v="1"/>
    <n v="28738.19"/>
    <n v="1"/>
    <n v="0.15"/>
    <n v="718.45"/>
  </r>
  <r>
    <s v="ORD1197"/>
    <x v="216"/>
    <s v="CUST787"/>
    <s v="Sneha Paul"/>
    <x v="1"/>
    <x v="4"/>
    <s v="Karnataka"/>
    <x v="3"/>
    <x v="0"/>
    <x v="0"/>
    <n v="46659.59"/>
    <n v="6"/>
    <n v="0.1"/>
    <n v="2332.98"/>
  </r>
  <r>
    <s v="ORD1717"/>
    <x v="134"/>
    <s v="CUST546"/>
    <s v="Ankit Roy"/>
    <x v="2"/>
    <x v="1"/>
    <s v="West Bengal"/>
    <x v="1"/>
    <x v="1"/>
    <x v="6"/>
    <n v="4895.79"/>
    <n v="8"/>
    <n v="0.02"/>
    <n v="440.62"/>
  </r>
  <r>
    <s v="ORD2117"/>
    <x v="327"/>
    <s v="CUST239"/>
    <s v="Ankit Roy"/>
    <x v="0"/>
    <x v="1"/>
    <s v="West Bengal"/>
    <x v="1"/>
    <x v="1"/>
    <x v="6"/>
    <n v="31316.78"/>
    <n v="10"/>
    <n v="0.26"/>
    <n v="-939.5"/>
  </r>
  <r>
    <s v="ORD1163"/>
    <x v="352"/>
    <s v="CUST457"/>
    <s v="Ankit Roy"/>
    <x v="2"/>
    <x v="0"/>
    <s v="Maharashtra"/>
    <x v="0"/>
    <x v="1"/>
    <x v="6"/>
    <n v="46144.41"/>
    <n v="4"/>
    <n v="0.13"/>
    <n v="1615.05"/>
  </r>
  <r>
    <s v="ORD2135"/>
    <x v="232"/>
    <s v="CUST919"/>
    <s v="Ankit Roy"/>
    <x v="1"/>
    <x v="0"/>
    <s v="Maharashtra"/>
    <x v="0"/>
    <x v="2"/>
    <x v="4"/>
    <n v="17547.52"/>
    <n v="7"/>
    <n v="0.27"/>
    <n v="-614.16"/>
  </r>
  <r>
    <s v="ORD1193"/>
    <x v="274"/>
    <s v="CUST807"/>
    <s v="Rahul Das"/>
    <x v="2"/>
    <x v="3"/>
    <s v="Telangana"/>
    <x v="2"/>
    <x v="2"/>
    <x v="1"/>
    <n v="25533.43"/>
    <n v="4"/>
    <n v="0.03"/>
    <n v="2170.34"/>
  </r>
  <r>
    <s v="ORD2073"/>
    <x v="171"/>
    <s v="CUST708"/>
    <s v="Ankit Roy"/>
    <x v="1"/>
    <x v="1"/>
    <s v="West Bengal"/>
    <x v="1"/>
    <x v="2"/>
    <x v="0"/>
    <n v="30362.9"/>
    <n v="4"/>
    <n v="0.08"/>
    <n v="1821.77"/>
  </r>
  <r>
    <s v="ORD1977"/>
    <x v="297"/>
    <s v="CUST334"/>
    <s v="Sneha Paul"/>
    <x v="0"/>
    <x v="0"/>
    <s v="Maharashtra"/>
    <x v="0"/>
    <x v="2"/>
    <x v="3"/>
    <n v="32941.050000000003"/>
    <n v="5"/>
    <n v="0.1"/>
    <n v="1647.05"/>
  </r>
  <r>
    <s v="ORD1362"/>
    <x v="353"/>
    <s v="CUST666"/>
    <s v="Rahul Das"/>
    <x v="2"/>
    <x v="0"/>
    <s v="Maharashtra"/>
    <x v="0"/>
    <x v="2"/>
    <x v="5"/>
    <n v="20160.919999999998"/>
    <n v="1"/>
    <n v="0.21"/>
    <n v="-100.8"/>
  </r>
  <r>
    <s v="ORD1094"/>
    <x v="215"/>
    <s v="CUST109"/>
    <s v="Ravi Kumar"/>
    <x v="1"/>
    <x v="0"/>
    <s v="Maharashtra"/>
    <x v="0"/>
    <x v="2"/>
    <x v="1"/>
    <n v="41267.57"/>
    <n v="6"/>
    <n v="0.28000000000000003"/>
    <n v="-1650.7"/>
  </r>
  <r>
    <s v="ORD1204"/>
    <x v="276"/>
    <s v="CUST559"/>
    <s v="Ravi Kumar"/>
    <x v="2"/>
    <x v="4"/>
    <s v="Karnataka"/>
    <x v="3"/>
    <x v="2"/>
    <x v="6"/>
    <n v="29694.58"/>
    <n v="5"/>
    <n v="0.1"/>
    <n v="1484.73"/>
  </r>
  <r>
    <s v="ORD1429"/>
    <x v="34"/>
    <s v="CUST611"/>
    <s v="Ankit Roy"/>
    <x v="0"/>
    <x v="4"/>
    <s v="Karnataka"/>
    <x v="3"/>
    <x v="1"/>
    <x v="3"/>
    <n v="29098.11"/>
    <n v="3"/>
    <n v="0.15"/>
    <n v="727.45"/>
  </r>
  <r>
    <s v="ORD2240"/>
    <x v="131"/>
    <s v="CUST208"/>
    <s v="Sneha Paul"/>
    <x v="0"/>
    <x v="5"/>
    <s v="Tamil Nadu"/>
    <x v="1"/>
    <x v="1"/>
    <x v="4"/>
    <n v="30023.29"/>
    <n v="1"/>
    <n v="0.21"/>
    <n v="-150.12"/>
  </r>
  <r>
    <s v="ORD2422"/>
    <x v="56"/>
    <s v="CUST645"/>
    <s v="Neha Singh"/>
    <x v="1"/>
    <x v="1"/>
    <s v="West Bengal"/>
    <x v="1"/>
    <x v="2"/>
    <x v="4"/>
    <n v="39292.67"/>
    <n v="5"/>
    <n v="0.09"/>
    <n v="2161.1"/>
  </r>
  <r>
    <s v="ORD1111"/>
    <x v="278"/>
    <s v="CUST315"/>
    <s v="Pooja Verma"/>
    <x v="2"/>
    <x v="1"/>
    <s v="West Bengal"/>
    <x v="1"/>
    <x v="0"/>
    <x v="4"/>
    <n v="19805.29"/>
    <n v="5"/>
    <n v="0.15"/>
    <n v="495.13"/>
  </r>
  <r>
    <s v="ORD1506"/>
    <x v="243"/>
    <s v="CUST243"/>
    <s v="Ankit Roy"/>
    <x v="1"/>
    <x v="2"/>
    <s v="Delhi"/>
    <x v="2"/>
    <x v="0"/>
    <x v="4"/>
    <n v="23357.71"/>
    <n v="6"/>
    <n v="0.23"/>
    <n v="-350.37"/>
  </r>
  <r>
    <s v="ORD1532"/>
    <x v="97"/>
    <s v="CUST196"/>
    <s v="Neha Singh"/>
    <x v="2"/>
    <x v="3"/>
    <s v="Telangana"/>
    <x v="2"/>
    <x v="1"/>
    <x v="0"/>
    <n v="15651.76"/>
    <n v="4"/>
    <n v="0.04"/>
    <n v="1252.1400000000001"/>
  </r>
  <r>
    <s v="ORD1811"/>
    <x v="279"/>
    <s v="CUST303"/>
    <s v="Neha Singh"/>
    <x v="0"/>
    <x v="0"/>
    <s v="Maharashtra"/>
    <x v="0"/>
    <x v="1"/>
    <x v="1"/>
    <n v="27516.94"/>
    <n v="2"/>
    <n v="0.14000000000000001"/>
    <n v="825.51"/>
  </r>
  <r>
    <s v="ORD2457"/>
    <x v="3"/>
    <s v="CUST562"/>
    <s v="Rahul Das"/>
    <x v="2"/>
    <x v="5"/>
    <s v="Tamil Nadu"/>
    <x v="1"/>
    <x v="1"/>
    <x v="2"/>
    <n v="24066.98"/>
    <n v="9"/>
    <n v="0.17"/>
    <n v="361"/>
  </r>
  <r>
    <s v="ORD1005"/>
    <x v="141"/>
    <s v="CUST446"/>
    <s v="Sneha Paul"/>
    <x v="0"/>
    <x v="2"/>
    <s v="Delhi"/>
    <x v="2"/>
    <x v="2"/>
    <x v="3"/>
    <n v="44973.599999999999"/>
    <n v="5"/>
    <n v="0.11"/>
    <n v="2023.81"/>
  </r>
  <r>
    <s v="ORD1463"/>
    <x v="54"/>
    <s v="CUST889"/>
    <s v="Ankit Roy"/>
    <x v="0"/>
    <x v="0"/>
    <s v="Maharashtra"/>
    <x v="0"/>
    <x v="2"/>
    <x v="6"/>
    <n v="29538.98"/>
    <n v="7"/>
    <n v="0.23"/>
    <n v="-443.08"/>
  </r>
  <r>
    <s v="ORD1248"/>
    <x v="33"/>
    <s v="CUST267"/>
    <s v="Ankit Roy"/>
    <x v="0"/>
    <x v="3"/>
    <s v="Telangana"/>
    <x v="2"/>
    <x v="2"/>
    <x v="2"/>
    <n v="11437.65"/>
    <n v="3"/>
    <n v="0.24"/>
    <n v="-228.75"/>
  </r>
  <r>
    <s v="ORD1617"/>
    <x v="57"/>
    <s v="CUST101"/>
    <s v="Pooja Verma"/>
    <x v="2"/>
    <x v="2"/>
    <s v="Delhi"/>
    <x v="2"/>
    <x v="0"/>
    <x v="1"/>
    <n v="1736.51"/>
    <n v="3"/>
    <n v="0.24"/>
    <n v="-34.729999999999997"/>
  </r>
  <r>
    <s v="ORD1955"/>
    <x v="20"/>
    <s v="CUST440"/>
    <s v="Ankit Roy"/>
    <x v="0"/>
    <x v="5"/>
    <s v="Tamil Nadu"/>
    <x v="1"/>
    <x v="0"/>
    <x v="5"/>
    <n v="44198.89"/>
    <n v="3"/>
    <n v="0.24"/>
    <n v="-883.98"/>
  </r>
  <r>
    <s v="ORD1059"/>
    <x v="223"/>
    <s v="CUST684"/>
    <s v="Ravi Kumar"/>
    <x v="2"/>
    <x v="2"/>
    <s v="Delhi"/>
    <x v="2"/>
    <x v="2"/>
    <x v="2"/>
    <n v="42235.72"/>
    <n v="5"/>
    <n v="0.3"/>
    <n v="-2111.79"/>
  </r>
  <r>
    <s v="ORD1686"/>
    <x v="320"/>
    <s v="CUST702"/>
    <s v="Neha Singh"/>
    <x v="0"/>
    <x v="5"/>
    <s v="Tamil Nadu"/>
    <x v="1"/>
    <x v="0"/>
    <x v="1"/>
    <n v="42760.97"/>
    <n v="3"/>
    <n v="0.25"/>
    <n v="-1069.02"/>
  </r>
  <r>
    <s v="ORD2347"/>
    <x v="338"/>
    <s v="CUST591"/>
    <s v="Amit Sharma"/>
    <x v="0"/>
    <x v="1"/>
    <s v="West Bengal"/>
    <x v="1"/>
    <x v="2"/>
    <x v="2"/>
    <n v="3926.95"/>
    <n v="9"/>
    <n v="0.24"/>
    <n v="-78.540000000000006"/>
  </r>
  <r>
    <s v="ORD1358"/>
    <x v="333"/>
    <s v="CUST324"/>
    <s v="Sneha Paul"/>
    <x v="2"/>
    <x v="5"/>
    <s v="Tamil Nadu"/>
    <x v="1"/>
    <x v="2"/>
    <x v="3"/>
    <n v="42115.7"/>
    <n v="5"/>
    <n v="0.13"/>
    <n v="1474.05"/>
  </r>
  <r>
    <s v="ORD2188"/>
    <x v="326"/>
    <s v="CUST265"/>
    <s v="Rahul Das"/>
    <x v="0"/>
    <x v="4"/>
    <s v="Karnataka"/>
    <x v="3"/>
    <x v="2"/>
    <x v="5"/>
    <n v="44736.62"/>
    <n v="8"/>
    <n v="0.06"/>
    <n v="3131.56"/>
  </r>
  <r>
    <s v="ORD1014"/>
    <x v="163"/>
    <s v="CUST205"/>
    <s v="Rahul Das"/>
    <x v="2"/>
    <x v="0"/>
    <s v="Maharashtra"/>
    <x v="0"/>
    <x v="1"/>
    <x v="5"/>
    <n v="33612.61"/>
    <n v="9"/>
    <n v="0.01"/>
    <n v="3193.2"/>
  </r>
  <r>
    <s v="ORD2119"/>
    <x v="225"/>
    <s v="CUST972"/>
    <s v="Sneha Paul"/>
    <x v="2"/>
    <x v="2"/>
    <s v="Delhi"/>
    <x v="2"/>
    <x v="2"/>
    <x v="5"/>
    <n v="20695.490000000002"/>
    <n v="9"/>
    <n v="0.12"/>
    <n v="827.82"/>
  </r>
  <r>
    <s v="ORD1920"/>
    <x v="214"/>
    <s v="CUST754"/>
    <s v="Pooja Verma"/>
    <x v="0"/>
    <x v="5"/>
    <s v="Tamil Nadu"/>
    <x v="1"/>
    <x v="1"/>
    <x v="4"/>
    <n v="36351.82"/>
    <n v="7"/>
    <n v="0.17"/>
    <n v="545.28"/>
  </r>
  <r>
    <s v="ORD2187"/>
    <x v="350"/>
    <s v="CUST589"/>
    <s v="Sneha Paul"/>
    <x v="0"/>
    <x v="2"/>
    <s v="Delhi"/>
    <x v="2"/>
    <x v="1"/>
    <x v="1"/>
    <n v="39978.99"/>
    <n v="1"/>
    <n v="0.06"/>
    <n v="2798.53"/>
  </r>
  <r>
    <s v="ORD1121"/>
    <x v="291"/>
    <s v="CUST667"/>
    <s v="Neha Singh"/>
    <x v="0"/>
    <x v="2"/>
    <s v="Delhi"/>
    <x v="2"/>
    <x v="0"/>
    <x v="5"/>
    <n v="13494.43"/>
    <n v="5"/>
    <n v="7.0000000000000007E-2"/>
    <n v="877.14"/>
  </r>
  <r>
    <s v="ORD1235"/>
    <x v="354"/>
    <s v="CUST828"/>
    <s v="Ankit Roy"/>
    <x v="0"/>
    <x v="5"/>
    <s v="Tamil Nadu"/>
    <x v="1"/>
    <x v="2"/>
    <x v="6"/>
    <n v="14943.57"/>
    <n v="1"/>
    <n v="0.18"/>
    <n v="149.44"/>
  </r>
  <r>
    <s v="ORD1257"/>
    <x v="277"/>
    <s v="CUST106"/>
    <s v="Ravi Kumar"/>
    <x v="0"/>
    <x v="1"/>
    <s v="West Bengal"/>
    <x v="1"/>
    <x v="1"/>
    <x v="2"/>
    <n v="42927.96"/>
    <n v="6"/>
    <n v="0.03"/>
    <n v="3648.88"/>
  </r>
  <r>
    <s v="ORD1858"/>
    <x v="194"/>
    <s v="CUST506"/>
    <s v="Rahul Das"/>
    <x v="2"/>
    <x v="2"/>
    <s v="Delhi"/>
    <x v="2"/>
    <x v="0"/>
    <x v="3"/>
    <n v="34912.730000000003"/>
    <n v="7"/>
    <n v="0.11"/>
    <n v="1571.07"/>
  </r>
  <r>
    <s v="ORD1890"/>
    <x v="164"/>
    <s v="CUST729"/>
    <s v="Rahul Das"/>
    <x v="0"/>
    <x v="3"/>
    <s v="Telangana"/>
    <x v="2"/>
    <x v="1"/>
    <x v="5"/>
    <n v="6877.65"/>
    <n v="5"/>
    <n v="0.2"/>
    <n v="0"/>
  </r>
  <r>
    <s v="ORD2112"/>
    <x v="156"/>
    <s v="CUST639"/>
    <s v="Rahul Das"/>
    <x v="1"/>
    <x v="2"/>
    <s v="Delhi"/>
    <x v="2"/>
    <x v="2"/>
    <x v="0"/>
    <n v="18628.07"/>
    <n v="8"/>
    <n v="0.2"/>
    <n v="0"/>
  </r>
  <r>
    <s v="ORD1789"/>
    <x v="340"/>
    <s v="CUST718"/>
    <s v="Ravi Kumar"/>
    <x v="0"/>
    <x v="3"/>
    <s v="Telangana"/>
    <x v="2"/>
    <x v="2"/>
    <x v="3"/>
    <n v="45914.89"/>
    <n v="8"/>
    <n v="0.21"/>
    <n v="-229.57"/>
  </r>
  <r>
    <s v="ORD2394"/>
    <x v="350"/>
    <s v="CUST381"/>
    <s v="Ankit Roy"/>
    <x v="1"/>
    <x v="0"/>
    <s v="Maharashtra"/>
    <x v="0"/>
    <x v="0"/>
    <x v="0"/>
    <n v="49238.87"/>
    <n v="4"/>
    <n v="0.11"/>
    <n v="2215.75"/>
  </r>
  <r>
    <s v="ORD1046"/>
    <x v="194"/>
    <s v="CUST205"/>
    <s v="Neha Singh"/>
    <x v="2"/>
    <x v="4"/>
    <s v="Karnataka"/>
    <x v="3"/>
    <x v="2"/>
    <x v="4"/>
    <n v="44416.74"/>
    <n v="6"/>
    <n v="0.12"/>
    <n v="1776.67"/>
  </r>
  <r>
    <s v="ORD1376"/>
    <x v="206"/>
    <s v="CUST352"/>
    <s v="Amit Sharma"/>
    <x v="2"/>
    <x v="1"/>
    <s v="West Bengal"/>
    <x v="1"/>
    <x v="1"/>
    <x v="5"/>
    <n v="38627.360000000001"/>
    <n v="9"/>
    <n v="0.11"/>
    <n v="1738.23"/>
  </r>
  <r>
    <s v="ORD1445"/>
    <x v="44"/>
    <s v="CUST372"/>
    <s v="Ravi Kumar"/>
    <x v="1"/>
    <x v="1"/>
    <s v="West Bengal"/>
    <x v="1"/>
    <x v="0"/>
    <x v="4"/>
    <n v="6140.37"/>
    <n v="3"/>
    <n v="0.02"/>
    <n v="552.63"/>
  </r>
  <r>
    <s v="ORD1462"/>
    <x v="282"/>
    <s v="CUST280"/>
    <s v="Pooja Verma"/>
    <x v="2"/>
    <x v="1"/>
    <s v="West Bengal"/>
    <x v="1"/>
    <x v="0"/>
    <x v="3"/>
    <n v="35195.47"/>
    <n v="9"/>
    <n v="0.12"/>
    <n v="1407.82"/>
  </r>
  <r>
    <s v="ORD1622"/>
    <x v="172"/>
    <s v="CUST970"/>
    <s v="Rahul Das"/>
    <x v="1"/>
    <x v="4"/>
    <s v="Karnataka"/>
    <x v="3"/>
    <x v="2"/>
    <x v="1"/>
    <n v="38690.54"/>
    <n v="7"/>
    <n v="0.11"/>
    <n v="1741.07"/>
  </r>
  <r>
    <s v="ORD2265"/>
    <x v="89"/>
    <s v="CUST799"/>
    <s v="Sneha Paul"/>
    <x v="2"/>
    <x v="0"/>
    <s v="Maharashtra"/>
    <x v="0"/>
    <x v="1"/>
    <x v="5"/>
    <n v="19044.54"/>
    <n v="3"/>
    <n v="0.1"/>
    <n v="952.23"/>
  </r>
  <r>
    <s v="ORD2054"/>
    <x v="149"/>
    <s v="CUST529"/>
    <s v="Amit Sharma"/>
    <x v="2"/>
    <x v="1"/>
    <s v="West Bengal"/>
    <x v="1"/>
    <x v="1"/>
    <x v="1"/>
    <n v="12388.79"/>
    <n v="3"/>
    <n v="0.22"/>
    <n v="-123.89"/>
  </r>
  <r>
    <s v="ORD1517"/>
    <x v="63"/>
    <s v="CUST258"/>
    <s v="Ankit Roy"/>
    <x v="1"/>
    <x v="3"/>
    <s v="Telangana"/>
    <x v="2"/>
    <x v="2"/>
    <x v="4"/>
    <n v="37225.33"/>
    <n v="6"/>
    <n v="0.27"/>
    <n v="-1302.8900000000001"/>
  </r>
  <r>
    <s v="ORD1814"/>
    <x v="220"/>
    <s v="CUST910"/>
    <s v="Rahul Das"/>
    <x v="1"/>
    <x v="1"/>
    <s v="West Bengal"/>
    <x v="1"/>
    <x v="2"/>
    <x v="5"/>
    <n v="39697.67"/>
    <n v="6"/>
    <n v="0.28000000000000003"/>
    <n v="-1587.91"/>
  </r>
  <r>
    <s v="ORD1171"/>
    <x v="299"/>
    <s v="CUST670"/>
    <s v="Pooja Verma"/>
    <x v="1"/>
    <x v="4"/>
    <s v="Karnataka"/>
    <x v="3"/>
    <x v="2"/>
    <x v="6"/>
    <n v="33150.120000000003"/>
    <n v="3"/>
    <n v="0.03"/>
    <n v="2817.76"/>
  </r>
  <r>
    <s v="ORD1339"/>
    <x v="116"/>
    <s v="CUST482"/>
    <s v="Sneha Paul"/>
    <x v="1"/>
    <x v="3"/>
    <s v="Telangana"/>
    <x v="2"/>
    <x v="1"/>
    <x v="0"/>
    <n v="12496.9"/>
    <n v="4"/>
    <n v="0.18"/>
    <n v="124.97"/>
  </r>
  <r>
    <s v="ORD2190"/>
    <x v="121"/>
    <s v="CUST731"/>
    <s v="Ravi Kumar"/>
    <x v="2"/>
    <x v="0"/>
    <s v="Maharashtra"/>
    <x v="0"/>
    <x v="1"/>
    <x v="0"/>
    <n v="28277.19"/>
    <n v="4"/>
    <n v="0.04"/>
    <n v="2262.1799999999998"/>
  </r>
  <r>
    <s v="ORD1085"/>
    <x v="116"/>
    <s v="CUST398"/>
    <s v="Ankit Roy"/>
    <x v="0"/>
    <x v="1"/>
    <s v="West Bengal"/>
    <x v="1"/>
    <x v="0"/>
    <x v="6"/>
    <n v="31472.51"/>
    <n v="7"/>
    <n v="0.03"/>
    <n v="2675.16"/>
  </r>
  <r>
    <s v="ORD1640"/>
    <x v="221"/>
    <s v="CUST360"/>
    <s v="Ravi Kumar"/>
    <x v="2"/>
    <x v="1"/>
    <s v="West Bengal"/>
    <x v="1"/>
    <x v="1"/>
    <x v="5"/>
    <n v="2114.7600000000002"/>
    <n v="2"/>
    <n v="0.3"/>
    <n v="-105.74"/>
  </r>
  <r>
    <s v="ORD1159"/>
    <x v="57"/>
    <s v="CUST172"/>
    <s v="Neha Singh"/>
    <x v="1"/>
    <x v="4"/>
    <s v="Karnataka"/>
    <x v="3"/>
    <x v="0"/>
    <x v="4"/>
    <n v="18644.12"/>
    <n v="5"/>
    <n v="0.21"/>
    <n v="-93.22"/>
  </r>
  <r>
    <s v="ORD1432"/>
    <x v="169"/>
    <s v="CUST556"/>
    <s v="Rahul Das"/>
    <x v="0"/>
    <x v="4"/>
    <s v="Karnataka"/>
    <x v="3"/>
    <x v="0"/>
    <x v="1"/>
    <n v="38066.94"/>
    <n v="9"/>
    <n v="0.3"/>
    <n v="-1903.35"/>
  </r>
  <r>
    <s v="ORD1638"/>
    <x v="176"/>
    <s v="CUST906"/>
    <s v="Ravi Kumar"/>
    <x v="1"/>
    <x v="2"/>
    <s v="Delhi"/>
    <x v="2"/>
    <x v="1"/>
    <x v="0"/>
    <n v="36111.47"/>
    <n v="7"/>
    <n v="0.2"/>
    <n v="0"/>
  </r>
  <r>
    <s v="ORD1643"/>
    <x v="295"/>
    <s v="CUST912"/>
    <s v="Amit Sharma"/>
    <x v="1"/>
    <x v="0"/>
    <s v="Maharashtra"/>
    <x v="0"/>
    <x v="0"/>
    <x v="3"/>
    <n v="18542.07"/>
    <n v="7"/>
    <n v="0.17"/>
    <n v="278.13"/>
  </r>
  <r>
    <s v="ORD1311"/>
    <x v="20"/>
    <s v="CUST563"/>
    <s v="Pooja Verma"/>
    <x v="1"/>
    <x v="5"/>
    <s v="Tamil Nadu"/>
    <x v="1"/>
    <x v="2"/>
    <x v="1"/>
    <n v="34073.589999999997"/>
    <n v="7"/>
    <n v="0.13"/>
    <n v="1192.58"/>
  </r>
  <r>
    <s v="ORD1797"/>
    <x v="253"/>
    <s v="CUST520"/>
    <s v="Neha Singh"/>
    <x v="1"/>
    <x v="2"/>
    <s v="Delhi"/>
    <x v="2"/>
    <x v="0"/>
    <x v="0"/>
    <n v="26399.07"/>
    <n v="8"/>
    <n v="0.1"/>
    <n v="1319.95"/>
  </r>
  <r>
    <s v="ORD2182"/>
    <x v="103"/>
    <s v="CUST375"/>
    <s v="Ankit Roy"/>
    <x v="1"/>
    <x v="3"/>
    <s v="Telangana"/>
    <x v="2"/>
    <x v="1"/>
    <x v="3"/>
    <n v="36818.089999999997"/>
    <n v="10"/>
    <n v="0.13"/>
    <n v="1288.6300000000001"/>
  </r>
  <r>
    <s v="ORD2476"/>
    <x v="331"/>
    <s v="CUST942"/>
    <s v="Rahul Das"/>
    <x v="0"/>
    <x v="0"/>
    <s v="Maharashtra"/>
    <x v="0"/>
    <x v="0"/>
    <x v="2"/>
    <n v="40563.040000000001"/>
    <n v="3"/>
    <n v="0.25"/>
    <n v="-1014.08"/>
  </r>
  <r>
    <s v="ORD1527"/>
    <x v="136"/>
    <s v="CUST585"/>
    <s v="Neha Singh"/>
    <x v="1"/>
    <x v="3"/>
    <s v="Telangana"/>
    <x v="2"/>
    <x v="1"/>
    <x v="5"/>
    <n v="49411.66"/>
    <n v="2"/>
    <n v="0.11"/>
    <n v="2223.52"/>
  </r>
  <r>
    <s v="ORD1564"/>
    <x v="214"/>
    <s v="CUST945"/>
    <s v="Amit Sharma"/>
    <x v="0"/>
    <x v="3"/>
    <s v="Telangana"/>
    <x v="2"/>
    <x v="1"/>
    <x v="3"/>
    <n v="21387.24"/>
    <n v="7"/>
    <n v="0.27"/>
    <n v="-748.55"/>
  </r>
  <r>
    <s v="ORD1024"/>
    <x v="93"/>
    <s v="CUST434"/>
    <s v="Ravi Kumar"/>
    <x v="0"/>
    <x v="2"/>
    <s v="Delhi"/>
    <x v="2"/>
    <x v="0"/>
    <x v="5"/>
    <n v="9175.7900000000009"/>
    <n v="7"/>
    <n v="0.3"/>
    <n v="-458.79"/>
  </r>
  <r>
    <s v="ORD1609"/>
    <x v="11"/>
    <s v="CUST907"/>
    <s v="Rahul Das"/>
    <x v="2"/>
    <x v="2"/>
    <s v="Delhi"/>
    <x v="2"/>
    <x v="0"/>
    <x v="5"/>
    <n v="4369.1899999999996"/>
    <n v="5"/>
    <n v="0.11"/>
    <n v="196.61"/>
  </r>
  <r>
    <s v="ORD2290"/>
    <x v="287"/>
    <s v="CUST814"/>
    <s v="Amit Sharma"/>
    <x v="2"/>
    <x v="1"/>
    <s v="West Bengal"/>
    <x v="1"/>
    <x v="0"/>
    <x v="1"/>
    <n v="35568.78"/>
    <n v="8"/>
    <n v="0.22"/>
    <n v="-355.69"/>
  </r>
  <r>
    <s v="ORD1837"/>
    <x v="203"/>
    <s v="CUST872"/>
    <s v="Ankit Roy"/>
    <x v="0"/>
    <x v="5"/>
    <s v="Tamil Nadu"/>
    <x v="1"/>
    <x v="0"/>
    <x v="4"/>
    <n v="24969.95"/>
    <n v="8"/>
    <n v="0.19"/>
    <n v="124.85"/>
  </r>
  <r>
    <s v="ORD2360"/>
    <x v="144"/>
    <s v="CUST565"/>
    <s v="Sneha Paul"/>
    <x v="1"/>
    <x v="0"/>
    <s v="Maharashtra"/>
    <x v="0"/>
    <x v="2"/>
    <x v="5"/>
    <n v="40559.089999999997"/>
    <n v="5"/>
    <n v="0.01"/>
    <n v="3853.11"/>
  </r>
  <r>
    <s v="ORD1245"/>
    <x v="202"/>
    <s v="CUST490"/>
    <s v="Amit Sharma"/>
    <x v="1"/>
    <x v="0"/>
    <s v="Maharashtra"/>
    <x v="0"/>
    <x v="0"/>
    <x v="1"/>
    <n v="32665.83"/>
    <n v="9"/>
    <n v="0.21"/>
    <n v="-163.33000000000001"/>
  </r>
  <r>
    <s v="ORD1447"/>
    <x v="89"/>
    <s v="CUST979"/>
    <s v="Sneha Paul"/>
    <x v="0"/>
    <x v="2"/>
    <s v="Delhi"/>
    <x v="2"/>
    <x v="0"/>
    <x v="2"/>
    <n v="23483.26"/>
    <n v="6"/>
    <n v="0.24"/>
    <n v="-469.67"/>
  </r>
  <r>
    <s v="ORD1559"/>
    <x v="312"/>
    <s v="CUST478"/>
    <s v="Ravi Kumar"/>
    <x v="2"/>
    <x v="4"/>
    <s v="Karnataka"/>
    <x v="3"/>
    <x v="1"/>
    <x v="5"/>
    <n v="42793.49"/>
    <n v="6"/>
    <n v="0.11"/>
    <n v="1925.71"/>
  </r>
  <r>
    <s v="ORD1683"/>
    <x v="302"/>
    <s v="CUST388"/>
    <s v="Neha Singh"/>
    <x v="2"/>
    <x v="1"/>
    <s v="West Bengal"/>
    <x v="1"/>
    <x v="1"/>
    <x v="4"/>
    <n v="33694.800000000003"/>
    <n v="9"/>
    <n v="0.24"/>
    <n v="-673.9"/>
  </r>
  <r>
    <s v="ORD1207"/>
    <x v="355"/>
    <s v="CUST798"/>
    <s v="Rahul Das"/>
    <x v="1"/>
    <x v="4"/>
    <s v="Karnataka"/>
    <x v="3"/>
    <x v="0"/>
    <x v="5"/>
    <n v="43584.56"/>
    <n v="10"/>
    <n v="0.27"/>
    <n v="-1525.46"/>
  </r>
  <r>
    <s v="ORD1294"/>
    <x v="47"/>
    <s v="CUST625"/>
    <s v="Neha Singh"/>
    <x v="2"/>
    <x v="3"/>
    <s v="Telangana"/>
    <x v="2"/>
    <x v="2"/>
    <x v="3"/>
    <n v="48626.46"/>
    <n v="8"/>
    <n v="0.14000000000000001"/>
    <n v="1458.79"/>
  </r>
  <r>
    <s v="ORD1703"/>
    <x v="251"/>
    <s v="CUST828"/>
    <s v="Pooja Verma"/>
    <x v="2"/>
    <x v="2"/>
    <s v="Delhi"/>
    <x v="2"/>
    <x v="0"/>
    <x v="4"/>
    <n v="45557.66"/>
    <n v="2"/>
    <n v="7.0000000000000007E-2"/>
    <n v="2961.25"/>
  </r>
  <r>
    <s v="ORD2400"/>
    <x v="21"/>
    <s v="CUST662"/>
    <s v="Ravi Kumar"/>
    <x v="2"/>
    <x v="1"/>
    <s v="West Bengal"/>
    <x v="1"/>
    <x v="2"/>
    <x v="4"/>
    <n v="1818.39"/>
    <n v="1"/>
    <n v="0.09"/>
    <n v="100.01"/>
  </r>
  <r>
    <s v="ORD1126"/>
    <x v="18"/>
    <s v="CUST159"/>
    <s v="Neha Singh"/>
    <x v="1"/>
    <x v="0"/>
    <s v="Maharashtra"/>
    <x v="0"/>
    <x v="1"/>
    <x v="1"/>
    <n v="19216.47"/>
    <n v="9"/>
    <n v="0.03"/>
    <n v="1633.4"/>
  </r>
  <r>
    <s v="ORD2281"/>
    <x v="43"/>
    <s v="CUST126"/>
    <s v="Sneha Paul"/>
    <x v="0"/>
    <x v="5"/>
    <s v="Tamil Nadu"/>
    <x v="1"/>
    <x v="1"/>
    <x v="2"/>
    <n v="947.54"/>
    <n v="5"/>
    <n v="0.17"/>
    <n v="14.21"/>
  </r>
  <r>
    <s v="ORD1179"/>
    <x v="37"/>
    <s v="CUST221"/>
    <s v="Ankit Roy"/>
    <x v="0"/>
    <x v="3"/>
    <s v="Telangana"/>
    <x v="2"/>
    <x v="1"/>
    <x v="5"/>
    <n v="32576.27"/>
    <n v="2"/>
    <n v="0.16"/>
    <n v="651.53"/>
  </r>
  <r>
    <s v="ORD1243"/>
    <x v="294"/>
    <s v="CUST779"/>
    <s v="Rahul Das"/>
    <x v="2"/>
    <x v="0"/>
    <s v="Maharashtra"/>
    <x v="0"/>
    <x v="1"/>
    <x v="2"/>
    <n v="31791.38"/>
    <n v="3"/>
    <n v="0.3"/>
    <n v="-1589.57"/>
  </r>
  <r>
    <s v="ORD1520"/>
    <x v="167"/>
    <s v="CUST877"/>
    <s v="Rahul Das"/>
    <x v="2"/>
    <x v="0"/>
    <s v="Maharashtra"/>
    <x v="0"/>
    <x v="1"/>
    <x v="2"/>
    <n v="15657.97"/>
    <n v="5"/>
    <n v="0.27"/>
    <n v="-548.03"/>
  </r>
  <r>
    <s v="ORD1882"/>
    <x v="8"/>
    <s v="CUST331"/>
    <s v="Pooja Verma"/>
    <x v="0"/>
    <x v="5"/>
    <s v="Tamil Nadu"/>
    <x v="1"/>
    <x v="1"/>
    <x v="0"/>
    <n v="19273.39"/>
    <n v="9"/>
    <n v="0.27"/>
    <n v="-674.57"/>
  </r>
  <r>
    <s v="ORD2368"/>
    <x v="290"/>
    <s v="CUST544"/>
    <s v="Ravi Kumar"/>
    <x v="0"/>
    <x v="2"/>
    <s v="Delhi"/>
    <x v="2"/>
    <x v="1"/>
    <x v="0"/>
    <n v="33359.53"/>
    <n v="4"/>
    <n v="0.05"/>
    <n v="2501.96"/>
  </r>
  <r>
    <s v="ORD1767"/>
    <x v="188"/>
    <s v="CUST138"/>
    <s v="Pooja Verma"/>
    <x v="1"/>
    <x v="3"/>
    <s v="Telangana"/>
    <x v="2"/>
    <x v="1"/>
    <x v="1"/>
    <n v="21649.93"/>
    <n v="5"/>
    <n v="0.17"/>
    <n v="324.75"/>
  </r>
  <r>
    <s v="ORD2452"/>
    <x v="117"/>
    <s v="CUST689"/>
    <s v="Rahul Das"/>
    <x v="0"/>
    <x v="0"/>
    <s v="Maharashtra"/>
    <x v="0"/>
    <x v="1"/>
    <x v="2"/>
    <n v="21441.93"/>
    <n v="3"/>
    <n v="0.27"/>
    <n v="-750.47"/>
  </r>
  <r>
    <s v="ORD1227"/>
    <x v="347"/>
    <s v="CUST577"/>
    <s v="Neha Singh"/>
    <x v="2"/>
    <x v="3"/>
    <s v="Telangana"/>
    <x v="2"/>
    <x v="2"/>
    <x v="5"/>
    <n v="39697.61"/>
    <n v="1"/>
    <n v="0.03"/>
    <n v="3374.3"/>
  </r>
  <r>
    <s v="ORD1914"/>
    <x v="157"/>
    <s v="CUST455"/>
    <s v="Ankit Roy"/>
    <x v="0"/>
    <x v="4"/>
    <s v="Karnataka"/>
    <x v="3"/>
    <x v="1"/>
    <x v="0"/>
    <n v="12830.9"/>
    <n v="9"/>
    <n v="0.26"/>
    <n v="-384.93"/>
  </r>
  <r>
    <s v="ORD2399"/>
    <x v="245"/>
    <s v="CUST942"/>
    <s v="Ankit Roy"/>
    <x v="0"/>
    <x v="2"/>
    <s v="Delhi"/>
    <x v="2"/>
    <x v="1"/>
    <x v="1"/>
    <n v="17628.689999999999"/>
    <n v="9"/>
    <n v="0.24"/>
    <n v="-352.57"/>
  </r>
  <r>
    <s v="ORD1154"/>
    <x v="242"/>
    <s v="CUST870"/>
    <s v="Neha Singh"/>
    <x v="0"/>
    <x v="0"/>
    <s v="Maharashtra"/>
    <x v="0"/>
    <x v="0"/>
    <x v="2"/>
    <n v="17978.25"/>
    <n v="10"/>
    <n v="0.06"/>
    <n v="1258.48"/>
  </r>
  <r>
    <s v="ORD1213"/>
    <x v="83"/>
    <s v="CUST644"/>
    <s v="Pooja Verma"/>
    <x v="2"/>
    <x v="5"/>
    <s v="Tamil Nadu"/>
    <x v="1"/>
    <x v="2"/>
    <x v="0"/>
    <n v="11096.72"/>
    <n v="1"/>
    <n v="0.28999999999999998"/>
    <n v="-499.35"/>
  </r>
  <r>
    <s v="ORD2020"/>
    <x v="218"/>
    <s v="CUST206"/>
    <s v="Amit Sharma"/>
    <x v="2"/>
    <x v="4"/>
    <s v="Karnataka"/>
    <x v="3"/>
    <x v="0"/>
    <x v="1"/>
    <n v="33719.5"/>
    <n v="8"/>
    <n v="0.25"/>
    <n v="-842.99"/>
  </r>
  <r>
    <s v="ORD1251"/>
    <x v="248"/>
    <s v="CUST890"/>
    <s v="Neha Singh"/>
    <x v="2"/>
    <x v="3"/>
    <s v="Telangana"/>
    <x v="2"/>
    <x v="1"/>
    <x v="3"/>
    <n v="19846.25"/>
    <n v="5"/>
    <n v="0.12"/>
    <n v="793.85"/>
  </r>
  <r>
    <s v="ORD1795"/>
    <x v="26"/>
    <s v="CUST350"/>
    <s v="Amit Sharma"/>
    <x v="2"/>
    <x v="2"/>
    <s v="Delhi"/>
    <x v="2"/>
    <x v="0"/>
    <x v="2"/>
    <n v="36704.04"/>
    <n v="8"/>
    <n v="0.1"/>
    <n v="1835.2"/>
  </r>
  <r>
    <s v="ORD1040"/>
    <x v="14"/>
    <s v="CUST283"/>
    <s v="Ankit Roy"/>
    <x v="0"/>
    <x v="1"/>
    <s v="West Bengal"/>
    <x v="1"/>
    <x v="0"/>
    <x v="6"/>
    <n v="8172.18"/>
    <n v="8"/>
    <n v="0.1"/>
    <n v="408.61"/>
  </r>
  <r>
    <s v="ORD1661"/>
    <x v="54"/>
    <s v="CUST146"/>
    <s v="Sneha Paul"/>
    <x v="2"/>
    <x v="3"/>
    <s v="Telangana"/>
    <x v="2"/>
    <x v="0"/>
    <x v="5"/>
    <n v="13211.91"/>
    <n v="2"/>
    <n v="0.05"/>
    <n v="990.89"/>
  </r>
  <r>
    <s v="ORD1888"/>
    <x v="127"/>
    <s v="CUST920"/>
    <s v="Pooja Verma"/>
    <x v="2"/>
    <x v="3"/>
    <s v="Telangana"/>
    <x v="2"/>
    <x v="1"/>
    <x v="5"/>
    <n v="20323.740000000002"/>
    <n v="9"/>
    <n v="0.28000000000000003"/>
    <n v="-812.95"/>
  </r>
  <r>
    <s v="ORD2350"/>
    <x v="15"/>
    <s v="CUST383"/>
    <s v="Amit Sharma"/>
    <x v="1"/>
    <x v="1"/>
    <s v="West Bengal"/>
    <x v="1"/>
    <x v="2"/>
    <x v="3"/>
    <n v="7636.88"/>
    <n v="2"/>
    <n v="0.28999999999999998"/>
    <n v="-343.66"/>
  </r>
  <r>
    <s v="ORD1091"/>
    <x v="124"/>
    <s v="CUST585"/>
    <s v="Neha Singh"/>
    <x v="1"/>
    <x v="0"/>
    <s v="Maharashtra"/>
    <x v="0"/>
    <x v="2"/>
    <x v="4"/>
    <n v="11663.66"/>
    <n v="10"/>
    <n v="0.01"/>
    <n v="1108.05"/>
  </r>
  <r>
    <s v="ORD1287"/>
    <x v="38"/>
    <s v="CUST682"/>
    <s v="Pooja Verma"/>
    <x v="1"/>
    <x v="0"/>
    <s v="Maharashtra"/>
    <x v="0"/>
    <x v="1"/>
    <x v="6"/>
    <n v="31037.82"/>
    <n v="2"/>
    <n v="0.18"/>
    <n v="310.38"/>
  </r>
  <r>
    <s v="ORD1006"/>
    <x v="78"/>
    <s v="CUST935"/>
    <s v="Amit Sharma"/>
    <x v="1"/>
    <x v="1"/>
    <s v="West Bengal"/>
    <x v="1"/>
    <x v="1"/>
    <x v="5"/>
    <n v="30188.16"/>
    <n v="9"/>
    <n v="0.17"/>
    <n v="452.82"/>
  </r>
  <r>
    <s v="ORD1242"/>
    <x v="94"/>
    <s v="CUST636"/>
    <s v="Amit Sharma"/>
    <x v="2"/>
    <x v="3"/>
    <s v="Telangana"/>
    <x v="2"/>
    <x v="2"/>
    <x v="5"/>
    <n v="3145"/>
    <n v="2"/>
    <n v="0.23"/>
    <n v="-47.17"/>
  </r>
  <r>
    <s v="ORD1486"/>
    <x v="51"/>
    <s v="CUST229"/>
    <s v="Neha Singh"/>
    <x v="2"/>
    <x v="0"/>
    <s v="Maharashtra"/>
    <x v="0"/>
    <x v="0"/>
    <x v="1"/>
    <n v="2030.21"/>
    <n v="9"/>
    <n v="0.09"/>
    <n v="111.66"/>
  </r>
  <r>
    <s v="ORD1212"/>
    <x v="0"/>
    <s v="CUST982"/>
    <s v="Amit Sharma"/>
    <x v="1"/>
    <x v="5"/>
    <s v="Tamil Nadu"/>
    <x v="1"/>
    <x v="2"/>
    <x v="1"/>
    <n v="10609.77"/>
    <n v="7"/>
    <n v="0.27"/>
    <n v="-371.34"/>
  </r>
  <r>
    <s v="ORD1221"/>
    <x v="340"/>
    <s v="CUST936"/>
    <s v="Ravi Kumar"/>
    <x v="0"/>
    <x v="1"/>
    <s v="West Bengal"/>
    <x v="1"/>
    <x v="0"/>
    <x v="5"/>
    <n v="746.24"/>
    <n v="2"/>
    <n v="0.08"/>
    <n v="44.77"/>
  </r>
  <r>
    <s v="ORD1671"/>
    <x v="252"/>
    <s v="CUST132"/>
    <s v="Neha Singh"/>
    <x v="0"/>
    <x v="2"/>
    <s v="Delhi"/>
    <x v="2"/>
    <x v="1"/>
    <x v="1"/>
    <n v="34791.339999999997"/>
    <n v="5"/>
    <n v="0.06"/>
    <n v="2435.39"/>
  </r>
  <r>
    <s v="ORD2152"/>
    <x v="260"/>
    <s v="CUST104"/>
    <s v="Ravi Kumar"/>
    <x v="0"/>
    <x v="4"/>
    <s v="Karnataka"/>
    <x v="3"/>
    <x v="2"/>
    <x v="3"/>
    <n v="14706.59"/>
    <n v="10"/>
    <n v="0.25"/>
    <n v="-367.66"/>
  </r>
  <r>
    <s v="ORD1050"/>
    <x v="339"/>
    <s v="CUST729"/>
    <s v="Ankit Roy"/>
    <x v="1"/>
    <x v="0"/>
    <s v="Maharashtra"/>
    <x v="0"/>
    <x v="2"/>
    <x v="0"/>
    <n v="30192.22"/>
    <n v="6"/>
    <n v="0.24"/>
    <n v="-603.84"/>
  </r>
  <r>
    <s v="ORD1404"/>
    <x v="195"/>
    <s v="CUST948"/>
    <s v="Rahul Das"/>
    <x v="1"/>
    <x v="0"/>
    <s v="Maharashtra"/>
    <x v="0"/>
    <x v="2"/>
    <x v="0"/>
    <n v="36860.31"/>
    <n v="4"/>
    <n v="0.2"/>
    <n v="0"/>
  </r>
  <r>
    <s v="ORD2059"/>
    <x v="47"/>
    <s v="CUST532"/>
    <s v="Pooja Verma"/>
    <x v="2"/>
    <x v="1"/>
    <s v="West Bengal"/>
    <x v="1"/>
    <x v="1"/>
    <x v="5"/>
    <n v="48212.61"/>
    <n v="6"/>
    <n v="0.01"/>
    <n v="4580.2"/>
  </r>
  <r>
    <s v="ORD2103"/>
    <x v="69"/>
    <s v="CUST877"/>
    <s v="Ankit Roy"/>
    <x v="1"/>
    <x v="5"/>
    <s v="Tamil Nadu"/>
    <x v="1"/>
    <x v="2"/>
    <x v="1"/>
    <n v="48485.36"/>
    <n v="1"/>
    <n v="0.2"/>
    <n v="0"/>
  </r>
  <r>
    <s v="ORD1873"/>
    <x v="185"/>
    <s v="CUST193"/>
    <s v="Pooja Verma"/>
    <x v="1"/>
    <x v="5"/>
    <s v="Tamil Nadu"/>
    <x v="1"/>
    <x v="1"/>
    <x v="3"/>
    <n v="35088.699999999997"/>
    <n v="3"/>
    <n v="0.21"/>
    <n v="-175.44"/>
  </r>
  <r>
    <s v="ORD1964"/>
    <x v="356"/>
    <s v="CUST716"/>
    <s v="Rahul Das"/>
    <x v="1"/>
    <x v="4"/>
    <s v="Karnataka"/>
    <x v="3"/>
    <x v="2"/>
    <x v="3"/>
    <n v="36616.01"/>
    <n v="5"/>
    <n v="0.28999999999999998"/>
    <n v="-1647.72"/>
  </r>
  <r>
    <s v="ORD1985"/>
    <x v="235"/>
    <s v="CUST347"/>
    <s v="Ravi Kumar"/>
    <x v="1"/>
    <x v="1"/>
    <s v="West Bengal"/>
    <x v="1"/>
    <x v="0"/>
    <x v="0"/>
    <n v="5250.88"/>
    <n v="8"/>
    <n v="0.16"/>
    <n v="105.02"/>
  </r>
  <r>
    <s v="ORD1064"/>
    <x v="19"/>
    <s v="CUST169"/>
    <s v="Sneha Paul"/>
    <x v="0"/>
    <x v="1"/>
    <s v="West Bengal"/>
    <x v="1"/>
    <x v="0"/>
    <x v="2"/>
    <n v="38540.959999999999"/>
    <n v="10"/>
    <n v="0.17"/>
    <n v="578.11"/>
  </r>
  <r>
    <s v="ORD2434"/>
    <x v="145"/>
    <s v="CUST359"/>
    <s v="Neha Singh"/>
    <x v="1"/>
    <x v="1"/>
    <s v="West Bengal"/>
    <x v="1"/>
    <x v="1"/>
    <x v="3"/>
    <n v="9755.16"/>
    <n v="7"/>
    <n v="0.22"/>
    <n v="-97.55"/>
  </r>
  <r>
    <s v="ORD1418"/>
    <x v="184"/>
    <s v="CUST890"/>
    <s v="Pooja Verma"/>
    <x v="2"/>
    <x v="0"/>
    <s v="Maharashtra"/>
    <x v="0"/>
    <x v="1"/>
    <x v="3"/>
    <n v="29013.99"/>
    <n v="7"/>
    <n v="0.05"/>
    <n v="2176.0500000000002"/>
  </r>
  <r>
    <s v="ORD1635"/>
    <x v="5"/>
    <s v="CUST718"/>
    <s v="Ravi Kumar"/>
    <x v="1"/>
    <x v="2"/>
    <s v="Delhi"/>
    <x v="2"/>
    <x v="2"/>
    <x v="4"/>
    <n v="5350.95"/>
    <n v="1"/>
    <n v="0.28999999999999998"/>
    <n v="-240.79"/>
  </r>
  <r>
    <s v="ORD1927"/>
    <x v="19"/>
    <s v="CUST132"/>
    <s v="Neha Singh"/>
    <x v="0"/>
    <x v="1"/>
    <s v="West Bengal"/>
    <x v="1"/>
    <x v="2"/>
    <x v="1"/>
    <n v="32599.09"/>
    <n v="5"/>
    <n v="0.28999999999999998"/>
    <n v="-1466.96"/>
  </r>
  <r>
    <s v="ORD2077"/>
    <x v="13"/>
    <s v="CUST608"/>
    <s v="Amit Sharma"/>
    <x v="2"/>
    <x v="5"/>
    <s v="Tamil Nadu"/>
    <x v="1"/>
    <x v="1"/>
    <x v="4"/>
    <n v="49774.16"/>
    <n v="1"/>
    <n v="0.12"/>
    <n v="1990.97"/>
  </r>
  <r>
    <s v="ORD1337"/>
    <x v="147"/>
    <s v="CUST712"/>
    <s v="Amit Sharma"/>
    <x v="1"/>
    <x v="4"/>
    <s v="Karnataka"/>
    <x v="3"/>
    <x v="2"/>
    <x v="1"/>
    <n v="41274.31"/>
    <n v="9"/>
    <n v="0.12"/>
    <n v="1650.97"/>
  </r>
  <r>
    <s v="ORD1029"/>
    <x v="209"/>
    <s v="CUST984"/>
    <s v="Neha Singh"/>
    <x v="2"/>
    <x v="3"/>
    <s v="Telangana"/>
    <x v="2"/>
    <x v="1"/>
    <x v="1"/>
    <n v="19326.88"/>
    <n v="5"/>
    <n v="0.11"/>
    <n v="869.71"/>
  </r>
  <r>
    <s v="ORD2033"/>
    <x v="114"/>
    <s v="CUST180"/>
    <s v="Ankit Roy"/>
    <x v="2"/>
    <x v="1"/>
    <s v="West Bengal"/>
    <x v="1"/>
    <x v="1"/>
    <x v="1"/>
    <n v="40516.639999999999"/>
    <n v="9"/>
    <n v="0.13"/>
    <n v="1418.08"/>
  </r>
  <r>
    <s v="ORD2459"/>
    <x v="270"/>
    <s v="CUST129"/>
    <s v="Ravi Kumar"/>
    <x v="2"/>
    <x v="5"/>
    <s v="Tamil Nadu"/>
    <x v="1"/>
    <x v="1"/>
    <x v="6"/>
    <n v="47603.38"/>
    <n v="2"/>
    <n v="7.0000000000000007E-2"/>
    <n v="3094.22"/>
  </r>
  <r>
    <s v="ORD1669"/>
    <x v="159"/>
    <s v="CUST621"/>
    <s v="Ankit Roy"/>
    <x v="1"/>
    <x v="1"/>
    <s v="West Bengal"/>
    <x v="1"/>
    <x v="0"/>
    <x v="5"/>
    <n v="28424.080000000002"/>
    <n v="10"/>
    <n v="0.1"/>
    <n v="1421.2"/>
  </r>
  <r>
    <s v="ORD1612"/>
    <x v="21"/>
    <s v="CUST130"/>
    <s v="Ankit Roy"/>
    <x v="0"/>
    <x v="4"/>
    <s v="Karnataka"/>
    <x v="3"/>
    <x v="0"/>
    <x v="3"/>
    <n v="49509.29"/>
    <n v="8"/>
    <n v="0.02"/>
    <n v="4455.84"/>
  </r>
  <r>
    <s v="ORD1903"/>
    <x v="261"/>
    <s v="CUST340"/>
    <s v="Ankit Roy"/>
    <x v="1"/>
    <x v="2"/>
    <s v="Delhi"/>
    <x v="2"/>
    <x v="0"/>
    <x v="6"/>
    <n v="31470.31"/>
    <n v="10"/>
    <n v="0.21"/>
    <n v="-157.35"/>
  </r>
  <r>
    <s v="ORD2028"/>
    <x v="167"/>
    <s v="CUST489"/>
    <s v="Amit Sharma"/>
    <x v="2"/>
    <x v="3"/>
    <s v="Telangana"/>
    <x v="2"/>
    <x v="2"/>
    <x v="1"/>
    <n v="8216.61"/>
    <n v="10"/>
    <n v="0.22"/>
    <n v="-82.17"/>
  </r>
  <r>
    <s v="ORD2295"/>
    <x v="259"/>
    <s v="CUST883"/>
    <s v="Neha Singh"/>
    <x v="0"/>
    <x v="4"/>
    <s v="Karnataka"/>
    <x v="3"/>
    <x v="0"/>
    <x v="5"/>
    <n v="25844.77"/>
    <n v="10"/>
    <n v="0.09"/>
    <n v="1421.46"/>
  </r>
  <r>
    <s v="ORD1138"/>
    <x v="64"/>
    <s v="CUST734"/>
    <s v="Rahul Das"/>
    <x v="0"/>
    <x v="2"/>
    <s v="Delhi"/>
    <x v="2"/>
    <x v="0"/>
    <x v="5"/>
    <n v="9495.32"/>
    <n v="8"/>
    <n v="0.01"/>
    <n v="902.06"/>
  </r>
  <r>
    <s v="ORD1388"/>
    <x v="204"/>
    <s v="CUST741"/>
    <s v="Amit Sharma"/>
    <x v="0"/>
    <x v="3"/>
    <s v="Telangana"/>
    <x v="2"/>
    <x v="1"/>
    <x v="1"/>
    <n v="45258.95"/>
    <n v="7"/>
    <n v="0.06"/>
    <n v="3168.13"/>
  </r>
  <r>
    <s v="ORD1338"/>
    <x v="250"/>
    <s v="CUST203"/>
    <s v="Amit Sharma"/>
    <x v="0"/>
    <x v="0"/>
    <s v="Maharashtra"/>
    <x v="0"/>
    <x v="0"/>
    <x v="1"/>
    <n v="39305.32"/>
    <n v="3"/>
    <n v="0.24"/>
    <n v="-786.11"/>
  </r>
  <r>
    <s v="ORD1928"/>
    <x v="351"/>
    <s v="CUST149"/>
    <s v="Ankit Roy"/>
    <x v="2"/>
    <x v="0"/>
    <s v="Maharashtra"/>
    <x v="0"/>
    <x v="1"/>
    <x v="1"/>
    <n v="47039.83"/>
    <n v="6"/>
    <n v="0.22"/>
    <n v="-4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2935A-DB16-4699-96B1-07C80FA2CF27}"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8:E16" firstHeaderRow="1" firstDataRow="1" firstDataCol="1"/>
  <pivotFields count="17">
    <pivotField showAll="0"/>
    <pivotField numFmtId="165"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showAll="0"/>
    <pivotField showAll="0">
      <items count="4">
        <item x="1"/>
        <item x="0"/>
        <item x="2"/>
        <item t="default"/>
      </items>
    </pivotField>
    <pivotField showAll="0"/>
    <pivotField showAll="0"/>
    <pivotField showAll="0">
      <items count="5">
        <item x="1"/>
        <item x="2"/>
        <item x="3"/>
        <item x="0"/>
        <item t="default"/>
      </items>
    </pivotField>
    <pivotField showAll="0">
      <items count="4">
        <item x="1"/>
        <item x="0"/>
        <item x="2"/>
        <item t="default"/>
      </items>
    </pivotField>
    <pivotField axis="axisRow" showAll="0" sortType="descending">
      <items count="8">
        <item x="5"/>
        <item x="1"/>
        <item x="6"/>
        <item x="3"/>
        <item x="2"/>
        <item x="0"/>
        <item x="4"/>
        <item t="default"/>
      </items>
      <autoSortScope>
        <pivotArea dataOnly="0" outline="0" fieldPosition="0">
          <references count="1">
            <reference field="4294967294" count="1" selected="0">
              <x v="0"/>
            </reference>
          </references>
        </pivotArea>
      </autoSortScope>
    </pivotField>
    <pivotField dataField="1" numFmtId="44" showAll="0"/>
    <pivotField showAll="0"/>
    <pivotField numFmtId="9" showAll="0"/>
    <pivotField numFmtId="44" showAll="0"/>
    <pivotField showAll="0" defaultSubtotal="0"/>
    <pivotField showAll="0" defaultSubtotal="0"/>
    <pivotField showAll="0" defaultSubtotal="0">
      <items count="4">
        <item x="0"/>
        <item x="1"/>
        <item x="2"/>
        <item x="3"/>
      </items>
    </pivotField>
  </pivotFields>
  <rowFields count="1">
    <field x="9"/>
  </rowFields>
  <rowItems count="8">
    <i>
      <x v="2"/>
    </i>
    <i>
      <x v="1"/>
    </i>
    <i>
      <x v="3"/>
    </i>
    <i>
      <x v="5"/>
    </i>
    <i>
      <x/>
    </i>
    <i>
      <x v="6"/>
    </i>
    <i>
      <x v="4"/>
    </i>
    <i t="grand">
      <x/>
    </i>
  </rowItems>
  <colItems count="1">
    <i/>
  </colItems>
  <dataFields count="1">
    <dataField name="Sum of Sales" fld="10" baseField="0" baseItem="0" numFmtId="4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694E5B-9018-48C3-8D75-3673A2DD80A9}"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F5" firstHeaderRow="0" firstDataRow="1" firstDataCol="1"/>
  <pivotFields count="17">
    <pivotField showAll="0"/>
    <pivotField numFmtId="165"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showAll="0"/>
    <pivotField showAll="0">
      <items count="4">
        <item x="1"/>
        <item x="0"/>
        <item x="2"/>
        <item t="default"/>
      </items>
    </pivotField>
    <pivotField showAll="0"/>
    <pivotField showAll="0"/>
    <pivotField showAll="0">
      <items count="5">
        <item x="1"/>
        <item x="2"/>
        <item x="3"/>
        <item x="0"/>
        <item t="default"/>
      </items>
    </pivotField>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dataField="1" numFmtId="44" showAll="0"/>
    <pivotField showAll="0"/>
    <pivotField numFmtId="9" showAll="0"/>
    <pivotField dataField="1" numFmtId="44" showAll="0"/>
    <pivotField showAll="0" defaultSubtotal="0"/>
    <pivotField showAll="0" defaultSubtotal="0"/>
    <pivotField showAll="0" defaultSubtotal="0">
      <items count="4">
        <item x="0"/>
        <item x="1"/>
        <item x="2"/>
        <item x="3"/>
      </items>
    </pivotField>
  </pivotFields>
  <rowFields count="1">
    <field x="8"/>
  </rowFields>
  <rowItems count="4">
    <i>
      <x/>
    </i>
    <i>
      <x v="1"/>
    </i>
    <i>
      <x v="2"/>
    </i>
    <i t="grand">
      <x/>
    </i>
  </rowItems>
  <colFields count="1">
    <field x="-2"/>
  </colFields>
  <colItems count="2">
    <i>
      <x/>
    </i>
    <i i="1">
      <x v="1"/>
    </i>
  </colItems>
  <dataFields count="2">
    <dataField name="Sum of Sales" fld="10" baseField="0" baseItem="0" numFmtId="44"/>
    <dataField name="Sum of Profit" fld="13" baseField="0"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7BBDD-C787-42A2-BD96-A847739EC068}"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5" firstHeaderRow="1" firstDataRow="1" firstDataCol="1"/>
  <pivotFields count="17">
    <pivotField showAll="0"/>
    <pivotField numFmtId="165"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showAll="0"/>
    <pivotField showAll="0">
      <items count="4">
        <item x="1"/>
        <item x="0"/>
        <item x="2"/>
        <item t="default"/>
      </items>
    </pivotField>
    <pivotField axis="axisRow" showAll="0">
      <items count="7">
        <item x="4"/>
        <item x="5"/>
        <item x="2"/>
        <item x="3"/>
        <item x="1"/>
        <item x="0"/>
        <item t="default"/>
      </items>
    </pivotField>
    <pivotField showAll="0"/>
    <pivotField showAll="0">
      <items count="5">
        <item x="1"/>
        <item x="2"/>
        <item x="3"/>
        <item x="0"/>
        <item t="default"/>
      </items>
    </pivotField>
    <pivotField showAll="0">
      <items count="4">
        <item x="1"/>
        <item x="0"/>
        <item x="2"/>
        <item t="default"/>
      </items>
    </pivotField>
    <pivotField showAll="0"/>
    <pivotField dataField="1" numFmtId="44" showAll="0"/>
    <pivotField showAll="0"/>
    <pivotField numFmtId="9" showAll="0"/>
    <pivotField numFmtId="44" showAll="0"/>
    <pivotField showAll="0" defaultSubtotal="0"/>
    <pivotField showAll="0" defaultSubtotal="0"/>
    <pivotField showAll="0" defaultSubtotal="0">
      <items count="4">
        <item x="0"/>
        <item x="1"/>
        <item x="2"/>
        <item x="3"/>
      </items>
    </pivotField>
  </pivotFields>
  <rowFields count="1">
    <field x="5"/>
  </rowFields>
  <rowItems count="7">
    <i>
      <x/>
    </i>
    <i>
      <x v="1"/>
    </i>
    <i>
      <x v="2"/>
    </i>
    <i>
      <x v="3"/>
    </i>
    <i>
      <x v="4"/>
    </i>
    <i>
      <x v="5"/>
    </i>
    <i t="grand">
      <x/>
    </i>
  </rowItems>
  <colItems count="1">
    <i/>
  </colItems>
  <dataFields count="1">
    <dataField name="Sum of Sales" fld="10"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9404BA-03CD-48A8-AB7F-239E50FB8497}"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I14" firstHeaderRow="1" firstDataRow="1" firstDataCol="1"/>
  <pivotFields count="17">
    <pivotField showAll="0"/>
    <pivotField axis="axisRow" numFmtId="165"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showAll="0"/>
    <pivotField showAll="0">
      <items count="4">
        <item x="1"/>
        <item x="0"/>
        <item x="2"/>
        <item t="default"/>
      </items>
    </pivotField>
    <pivotField showAll="0"/>
    <pivotField showAll="0"/>
    <pivotField showAll="0">
      <items count="5">
        <item x="1"/>
        <item x="2"/>
        <item x="3"/>
        <item x="0"/>
        <item t="default"/>
      </items>
    </pivotField>
    <pivotField showAll="0">
      <items count="4">
        <item x="1"/>
        <item x="0"/>
        <item x="2"/>
        <item t="default"/>
      </items>
    </pivotField>
    <pivotField showAll="0"/>
    <pivotField dataField="1" numFmtId="44" showAll="0"/>
    <pivotField showAll="0"/>
    <pivotField numFmtId="9" showAll="0"/>
    <pivotField numFmtId="44"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x="5"/>
        <item t="default"/>
      </items>
    </pivotField>
    <pivotField showAll="0">
      <items count="5">
        <item sd="0" x="0"/>
        <item sd="0" x="1"/>
        <item sd="0" x="2"/>
        <item x="3"/>
        <item t="default"/>
      </items>
    </pivotField>
  </pivotFields>
  <rowFields count="2">
    <field x="14"/>
    <field x="1"/>
  </rowFields>
  <rowItems count="13">
    <i>
      <x v="11"/>
    </i>
    <i>
      <x v="4"/>
    </i>
    <i>
      <x v="5"/>
    </i>
    <i>
      <x v="8"/>
    </i>
    <i>
      <x v="7"/>
    </i>
    <i>
      <x v="1"/>
    </i>
    <i>
      <x v="12"/>
    </i>
    <i>
      <x v="2"/>
    </i>
    <i>
      <x v="9"/>
    </i>
    <i>
      <x v="6"/>
    </i>
    <i>
      <x v="3"/>
    </i>
    <i>
      <x v="10"/>
    </i>
    <i t="grand">
      <x/>
    </i>
  </rowItems>
  <colItems count="1">
    <i/>
  </colItems>
  <dataFields count="1">
    <dataField name="Sum of Sales" fld="10"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56B02-2856-49E6-8228-265D384447F5}"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7">
    <pivotField showAll="0"/>
    <pivotField numFmtId="165"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pivotField showAll="0"/>
    <pivotField showAll="0">
      <items count="4">
        <item x="1"/>
        <item x="0"/>
        <item x="2"/>
        <item t="default"/>
      </items>
    </pivotField>
    <pivotField showAll="0"/>
    <pivotField showAll="0"/>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dataField="1" numFmtId="44" showAll="0"/>
    <pivotField showAll="0"/>
    <pivotField numFmtId="9"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v="2"/>
    </i>
    <i>
      <x v="3"/>
    </i>
    <i>
      <x/>
    </i>
    <i>
      <x v="1"/>
    </i>
    <i t="grand">
      <x/>
    </i>
  </rowItems>
  <colItems count="1">
    <i/>
  </colItems>
  <dataFields count="1">
    <dataField name="Sum of Sales" fld="10"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F12A66-01D0-4D02-933E-1DA09B1A5724}" sourceName="Region">
  <pivotTables>
    <pivotTable tabId="2" name="PivotTable1"/>
    <pivotTable tabId="2" name="PivotTable3"/>
    <pivotTable tabId="2" name="PivotTable5"/>
    <pivotTable tabId="2" name="PivotTable7"/>
    <pivotTable tabId="2" name="PivotTable8"/>
  </pivotTables>
  <data>
    <tabular pivotCacheId="42677194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0B0DFCB-9102-45E8-8F6F-03D8E0E47DC2}" sourceName="Segment">
  <pivotTables>
    <pivotTable tabId="2" name="PivotTable1"/>
    <pivotTable tabId="2" name="PivotTable3"/>
    <pivotTable tabId="2" name="PivotTable5"/>
    <pivotTable tabId="2" name="PivotTable7"/>
    <pivotTable tabId="2" name="PivotTable8"/>
  </pivotTables>
  <data>
    <tabular pivotCacheId="42677194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3ECFE9-6D2D-44A0-BA68-7F3D604EBFBC}" sourceName="Category">
  <pivotTables>
    <pivotTable tabId="2" name="PivotTable1"/>
    <pivotTable tabId="2" name="PivotTable3"/>
    <pivotTable tabId="2" name="PivotTable5"/>
    <pivotTable tabId="2" name="PivotTable7"/>
    <pivotTable tabId="2" name="PivotTable8"/>
  </pivotTables>
  <data>
    <tabular pivotCacheId="42677194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043295-0A06-438E-B99C-E1CF1B4A3CFF}" cache="Slicer_Region" caption="Region" style="SlicerStyleOther2" rowHeight="234950"/>
  <slicer name="Segment" xr10:uid="{F0470908-9BC1-406C-8151-57BFBBD82518}" cache="Slicer_Segment" caption="Segment" style="SlicerStyleOther2" rowHeight="234950"/>
  <slicer name="Category" xr10:uid="{9B6F2127-A0B9-4E5F-BDEF-22B88F297929}" cache="Slicer_Category" caption="Category"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286E0-0E06-4840-B3F2-6A48B88D928E}" name="Table1" displayName="Table1" ref="A1:N1501" totalsRowShown="0">
  <autoFilter ref="A1:N1501" xr:uid="{00000000-0001-0000-0000-000000000000}"/>
  <sortState xmlns:xlrd2="http://schemas.microsoft.com/office/spreadsheetml/2017/richdata2" ref="A2:N1501">
    <sortCondition ref="B1:B1501"/>
  </sortState>
  <tableColumns count="14">
    <tableColumn id="1" xr3:uid="{CE791844-B24A-4A76-9E9F-C2739F1B5830}" name="Order ID"/>
    <tableColumn id="2" xr3:uid="{A697F8A3-8E18-4BF7-853C-CABE3A95DD9C}" name="Order Date" dataDxfId="7"/>
    <tableColumn id="3" xr3:uid="{EF99355B-C653-4982-84C4-781161545E2A}" name="Customer ID"/>
    <tableColumn id="4" xr3:uid="{8607A72D-DDBA-4467-82FB-9BB2F083632B}" name="Customer Name"/>
    <tableColumn id="5" xr3:uid="{263BAE87-E3FF-4A37-9956-3B142B986AB1}" name="Segment"/>
    <tableColumn id="6" xr3:uid="{7CBB2A68-AE0A-4182-8669-1DCF053501D0}" name="City"/>
    <tableColumn id="7" xr3:uid="{978E4573-9A03-47A5-9C65-38BE96467EAC}" name="State"/>
    <tableColumn id="8" xr3:uid="{15F5216D-708C-4C45-B5FB-89EC32FC0C94}" name="Region"/>
    <tableColumn id="9" xr3:uid="{98469BDF-74D4-43E2-8AFA-0E1368F26A8D}" name="Category"/>
    <tableColumn id="10" xr3:uid="{AD1242AF-52D4-46BE-9699-503045B16523}" name="Product Name"/>
    <tableColumn id="11" xr3:uid="{121F4CFA-C8DA-44DE-B9E2-9139E8540DDF}" name="Sales" dataDxfId="6" dataCellStyle="Currency"/>
    <tableColumn id="12" xr3:uid="{63EDF13A-A524-442F-BD74-E2688A7631BF}" name="Quantity" dataDxfId="5"/>
    <tableColumn id="13" xr3:uid="{AE8C622B-0EEE-4188-BB13-0A2979804061}" name="Discount" dataDxfId="4" dataCellStyle="Percent"/>
    <tableColumn id="14" xr3:uid="{BDF986FF-3054-44E8-936D-CD5F8C075AE9}" name="Profit" dataDxfId="3" dataCellStyle="Currency"/>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workbookViewId="0">
      <selection activeCell="A1063" sqref="A1063"/>
    </sheetView>
  </sheetViews>
  <sheetFormatPr defaultRowHeight="14.4" x14ac:dyDescent="0.3"/>
  <cols>
    <col min="1" max="1" width="12.33203125" bestFit="1" customWidth="1"/>
    <col min="2" max="2" width="16.77734375" style="1" bestFit="1" customWidth="1"/>
    <col min="3" max="3" width="16.44140625" bestFit="1" customWidth="1"/>
    <col min="4" max="4" width="20.5546875" bestFit="1" customWidth="1"/>
    <col min="5" max="5" width="12.6640625" bestFit="1" customWidth="1"/>
    <col min="6" max="6" width="9.77734375" bestFit="1" customWidth="1"/>
    <col min="7" max="7" width="11.44140625" bestFit="1" customWidth="1"/>
    <col min="8" max="8" width="10.5546875" bestFit="1" customWidth="1"/>
    <col min="9" max="9" width="12.6640625" bestFit="1" customWidth="1"/>
    <col min="10" max="10" width="18.44140625" bestFit="1" customWidth="1"/>
    <col min="11" max="11" width="11.33203125" style="2" bestFit="1" customWidth="1"/>
    <col min="12" max="12" width="14.77734375" style="4" bestFit="1" customWidth="1"/>
    <col min="13" max="13" width="14.77734375" style="3" bestFit="1" customWidth="1"/>
    <col min="14" max="14" width="11.33203125" style="2" bestFit="1" customWidth="1"/>
  </cols>
  <sheetData>
    <row r="1" spans="1:14" ht="18" x14ac:dyDescent="0.35">
      <c r="A1" s="5" t="s">
        <v>0</v>
      </c>
      <c r="B1" s="6" t="s">
        <v>1</v>
      </c>
      <c r="C1" s="5" t="s">
        <v>2</v>
      </c>
      <c r="D1" s="5" t="s">
        <v>3</v>
      </c>
      <c r="E1" s="5" t="s">
        <v>4</v>
      </c>
      <c r="F1" s="5" t="s">
        <v>5</v>
      </c>
      <c r="G1" s="5" t="s">
        <v>6</v>
      </c>
      <c r="H1" s="5" t="s">
        <v>7</v>
      </c>
      <c r="I1" s="5" t="s">
        <v>8</v>
      </c>
      <c r="J1" s="5" t="s">
        <v>9</v>
      </c>
      <c r="K1" s="7" t="s">
        <v>10</v>
      </c>
      <c r="L1" s="8" t="s">
        <v>11</v>
      </c>
      <c r="M1" s="9" t="s">
        <v>12</v>
      </c>
      <c r="N1" s="7" t="s">
        <v>13</v>
      </c>
    </row>
    <row r="2" spans="1:14" x14ac:dyDescent="0.3">
      <c r="A2" t="s">
        <v>203</v>
      </c>
      <c r="B2" s="1">
        <v>44927</v>
      </c>
      <c r="C2" t="s">
        <v>204</v>
      </c>
      <c r="D2" t="s">
        <v>57</v>
      </c>
      <c r="E2" t="s">
        <v>51</v>
      </c>
      <c r="F2" t="s">
        <v>40</v>
      </c>
      <c r="G2" t="s">
        <v>41</v>
      </c>
      <c r="H2" t="s">
        <v>42</v>
      </c>
      <c r="I2" t="s">
        <v>29</v>
      </c>
      <c r="J2" t="s">
        <v>30</v>
      </c>
      <c r="K2" s="2">
        <v>41036.67</v>
      </c>
      <c r="L2" s="4">
        <v>6</v>
      </c>
      <c r="M2" s="3">
        <v>0.15</v>
      </c>
      <c r="N2" s="2">
        <v>1025.92</v>
      </c>
    </row>
    <row r="3" spans="1:14" x14ac:dyDescent="0.3">
      <c r="A3" t="s">
        <v>849</v>
      </c>
      <c r="B3" s="1">
        <v>44927</v>
      </c>
      <c r="C3" t="s">
        <v>282</v>
      </c>
      <c r="D3" t="s">
        <v>85</v>
      </c>
      <c r="E3" t="s">
        <v>26</v>
      </c>
      <c r="F3" t="s">
        <v>40</v>
      </c>
      <c r="G3" t="s">
        <v>41</v>
      </c>
      <c r="H3" t="s">
        <v>42</v>
      </c>
      <c r="I3" t="s">
        <v>21</v>
      </c>
      <c r="J3" t="s">
        <v>106</v>
      </c>
      <c r="K3" s="2">
        <v>21841.040000000001</v>
      </c>
      <c r="L3" s="4">
        <v>6</v>
      </c>
      <c r="M3" s="3">
        <v>0.19</v>
      </c>
      <c r="N3" s="2">
        <v>109.21</v>
      </c>
    </row>
    <row r="4" spans="1:14" x14ac:dyDescent="0.3">
      <c r="A4" t="s">
        <v>1141</v>
      </c>
      <c r="B4" s="1">
        <v>44927</v>
      </c>
      <c r="C4" t="s">
        <v>1142</v>
      </c>
      <c r="D4" t="s">
        <v>33</v>
      </c>
      <c r="E4" t="s">
        <v>26</v>
      </c>
      <c r="F4" t="s">
        <v>27</v>
      </c>
      <c r="G4" t="s">
        <v>28</v>
      </c>
      <c r="H4" t="s">
        <v>20</v>
      </c>
      <c r="I4" t="s">
        <v>21</v>
      </c>
      <c r="J4" t="s">
        <v>64</v>
      </c>
      <c r="K4" s="2">
        <v>40588.800000000003</v>
      </c>
      <c r="L4" s="4">
        <v>4</v>
      </c>
      <c r="M4" s="3">
        <v>0.01</v>
      </c>
      <c r="N4" s="2">
        <v>3855.94</v>
      </c>
    </row>
    <row r="5" spans="1:14" x14ac:dyDescent="0.3">
      <c r="A5" t="s">
        <v>1669</v>
      </c>
      <c r="B5" s="1">
        <v>44927</v>
      </c>
      <c r="C5" t="s">
        <v>1670</v>
      </c>
      <c r="D5" t="s">
        <v>85</v>
      </c>
      <c r="E5" t="s">
        <v>17</v>
      </c>
      <c r="F5" t="s">
        <v>46</v>
      </c>
      <c r="G5" t="s">
        <v>46</v>
      </c>
      <c r="H5" t="s">
        <v>47</v>
      </c>
      <c r="I5" t="s">
        <v>29</v>
      </c>
      <c r="J5" t="s">
        <v>30</v>
      </c>
      <c r="K5" s="2">
        <v>38021.870000000003</v>
      </c>
      <c r="L5" s="4">
        <v>4</v>
      </c>
      <c r="M5" s="3">
        <v>0.25</v>
      </c>
      <c r="N5" s="2">
        <v>-950.55</v>
      </c>
    </row>
    <row r="6" spans="1:14" x14ac:dyDescent="0.3">
      <c r="A6" t="s">
        <v>1773</v>
      </c>
      <c r="B6" s="1">
        <v>44927</v>
      </c>
      <c r="C6" t="s">
        <v>622</v>
      </c>
      <c r="D6" t="s">
        <v>50</v>
      </c>
      <c r="E6" t="s">
        <v>17</v>
      </c>
      <c r="F6" t="s">
        <v>79</v>
      </c>
      <c r="G6" t="s">
        <v>80</v>
      </c>
      <c r="H6" t="s">
        <v>47</v>
      </c>
      <c r="I6" t="s">
        <v>21</v>
      </c>
      <c r="J6" t="s">
        <v>37</v>
      </c>
      <c r="K6" s="2">
        <v>10697.58</v>
      </c>
      <c r="L6" s="4">
        <v>3</v>
      </c>
      <c r="M6" s="3">
        <v>0.12</v>
      </c>
      <c r="N6" s="2">
        <v>427.9</v>
      </c>
    </row>
    <row r="7" spans="1:14" x14ac:dyDescent="0.3">
      <c r="A7" t="s">
        <v>1540</v>
      </c>
      <c r="B7" s="1">
        <v>44927</v>
      </c>
      <c r="C7" t="s">
        <v>1541</v>
      </c>
      <c r="D7" t="s">
        <v>85</v>
      </c>
      <c r="E7" t="s">
        <v>26</v>
      </c>
      <c r="F7" t="s">
        <v>46</v>
      </c>
      <c r="G7" t="s">
        <v>46</v>
      </c>
      <c r="H7" t="s">
        <v>47</v>
      </c>
      <c r="I7" t="s">
        <v>21</v>
      </c>
      <c r="J7" t="s">
        <v>64</v>
      </c>
      <c r="K7" s="2">
        <v>22927.38</v>
      </c>
      <c r="L7" s="4">
        <v>4</v>
      </c>
      <c r="M7" s="3">
        <v>0.11</v>
      </c>
      <c r="N7" s="2">
        <v>1031.73</v>
      </c>
    </row>
    <row r="8" spans="1:14" x14ac:dyDescent="0.3">
      <c r="A8" t="s">
        <v>568</v>
      </c>
      <c r="B8" s="1">
        <v>44927</v>
      </c>
      <c r="C8" t="s">
        <v>569</v>
      </c>
      <c r="D8" t="s">
        <v>25</v>
      </c>
      <c r="E8" t="s">
        <v>17</v>
      </c>
      <c r="F8" t="s">
        <v>79</v>
      </c>
      <c r="G8" t="s">
        <v>80</v>
      </c>
      <c r="H8" t="s">
        <v>47</v>
      </c>
      <c r="I8" t="s">
        <v>29</v>
      </c>
      <c r="J8" t="s">
        <v>106</v>
      </c>
      <c r="K8" s="2">
        <v>15271.99</v>
      </c>
      <c r="L8" s="4">
        <v>8</v>
      </c>
      <c r="M8" s="3">
        <v>0.1</v>
      </c>
      <c r="N8" s="2">
        <v>763.6</v>
      </c>
    </row>
    <row r="9" spans="1:14" x14ac:dyDescent="0.3">
      <c r="A9" t="s">
        <v>454</v>
      </c>
      <c r="B9" s="1">
        <v>44927</v>
      </c>
      <c r="C9" t="s">
        <v>455</v>
      </c>
      <c r="D9" t="s">
        <v>25</v>
      </c>
      <c r="E9" t="s">
        <v>26</v>
      </c>
      <c r="F9" t="s">
        <v>18</v>
      </c>
      <c r="G9" t="s">
        <v>19</v>
      </c>
      <c r="H9" t="s">
        <v>20</v>
      </c>
      <c r="I9" t="s">
        <v>43</v>
      </c>
      <c r="J9" t="s">
        <v>106</v>
      </c>
      <c r="K9" s="2">
        <v>10609.77</v>
      </c>
      <c r="L9" s="4">
        <v>7</v>
      </c>
      <c r="M9" s="3">
        <v>0.27</v>
      </c>
      <c r="N9" s="2">
        <v>-371.34</v>
      </c>
    </row>
    <row r="10" spans="1:14" x14ac:dyDescent="0.3">
      <c r="A10" t="s">
        <v>2129</v>
      </c>
      <c r="B10" s="1">
        <v>44928</v>
      </c>
      <c r="C10" t="s">
        <v>491</v>
      </c>
      <c r="D10" t="s">
        <v>16</v>
      </c>
      <c r="E10" t="s">
        <v>17</v>
      </c>
      <c r="F10" t="s">
        <v>34</v>
      </c>
      <c r="G10" t="s">
        <v>35</v>
      </c>
      <c r="H10" t="s">
        <v>36</v>
      </c>
      <c r="I10" t="s">
        <v>43</v>
      </c>
      <c r="J10" t="s">
        <v>22</v>
      </c>
      <c r="K10" s="2">
        <v>38297.949999999997</v>
      </c>
      <c r="L10" s="4">
        <v>8</v>
      </c>
      <c r="M10" s="3">
        <v>0.28000000000000003</v>
      </c>
      <c r="N10" s="2">
        <v>-1531.92</v>
      </c>
    </row>
    <row r="11" spans="1:14" x14ac:dyDescent="0.3">
      <c r="A11" t="s">
        <v>1688</v>
      </c>
      <c r="B11" s="1">
        <v>44928</v>
      </c>
      <c r="C11" t="s">
        <v>962</v>
      </c>
      <c r="D11" t="s">
        <v>33</v>
      </c>
      <c r="E11" t="s">
        <v>17</v>
      </c>
      <c r="F11" t="s">
        <v>18</v>
      </c>
      <c r="G11" t="s">
        <v>19</v>
      </c>
      <c r="H11" t="s">
        <v>20</v>
      </c>
      <c r="I11" t="s">
        <v>43</v>
      </c>
      <c r="J11" t="s">
        <v>54</v>
      </c>
      <c r="K11" s="2">
        <v>3580.83</v>
      </c>
      <c r="L11" s="4">
        <v>6</v>
      </c>
      <c r="M11" s="3">
        <v>0.09</v>
      </c>
      <c r="N11" s="2">
        <v>196.95</v>
      </c>
    </row>
    <row r="12" spans="1:14" x14ac:dyDescent="0.3">
      <c r="A12" t="s">
        <v>2130</v>
      </c>
      <c r="B12" s="1">
        <v>44928</v>
      </c>
      <c r="C12" t="s">
        <v>2131</v>
      </c>
      <c r="D12" t="s">
        <v>85</v>
      </c>
      <c r="E12" t="s">
        <v>51</v>
      </c>
      <c r="F12" t="s">
        <v>46</v>
      </c>
      <c r="G12" t="s">
        <v>46</v>
      </c>
      <c r="H12" t="s">
        <v>47</v>
      </c>
      <c r="I12" t="s">
        <v>43</v>
      </c>
      <c r="J12" t="s">
        <v>58</v>
      </c>
      <c r="K12" s="2">
        <v>33046.019999999997</v>
      </c>
      <c r="L12" s="4">
        <v>1</v>
      </c>
      <c r="M12" s="3">
        <v>0.09</v>
      </c>
      <c r="N12" s="2">
        <v>1817.53</v>
      </c>
    </row>
    <row r="13" spans="1:14" x14ac:dyDescent="0.3">
      <c r="A13" t="s">
        <v>1690</v>
      </c>
      <c r="B13" s="1">
        <v>44929</v>
      </c>
      <c r="C13" t="s">
        <v>493</v>
      </c>
      <c r="D13" t="s">
        <v>16</v>
      </c>
      <c r="E13" t="s">
        <v>17</v>
      </c>
      <c r="F13" t="s">
        <v>34</v>
      </c>
      <c r="G13" t="s">
        <v>35</v>
      </c>
      <c r="H13" t="s">
        <v>36</v>
      </c>
      <c r="I13" t="s">
        <v>43</v>
      </c>
      <c r="J13" t="s">
        <v>30</v>
      </c>
      <c r="K13" s="2">
        <v>43343.32</v>
      </c>
      <c r="L13" s="4">
        <v>2</v>
      </c>
      <c r="M13" s="3">
        <v>0.28000000000000003</v>
      </c>
      <c r="N13" s="2">
        <v>-1733.73</v>
      </c>
    </row>
    <row r="14" spans="1:14" x14ac:dyDescent="0.3">
      <c r="A14" t="s">
        <v>1919</v>
      </c>
      <c r="B14" s="1">
        <v>44929</v>
      </c>
      <c r="C14" t="s">
        <v>667</v>
      </c>
      <c r="D14" t="s">
        <v>50</v>
      </c>
      <c r="E14" t="s">
        <v>17</v>
      </c>
      <c r="F14" t="s">
        <v>18</v>
      </c>
      <c r="G14" t="s">
        <v>19</v>
      </c>
      <c r="H14" t="s">
        <v>20</v>
      </c>
      <c r="I14" t="s">
        <v>29</v>
      </c>
      <c r="J14" t="s">
        <v>37</v>
      </c>
      <c r="K14" s="2">
        <v>32902.65</v>
      </c>
      <c r="L14" s="4">
        <v>5</v>
      </c>
      <c r="M14" s="3">
        <v>0.01</v>
      </c>
      <c r="N14" s="2">
        <v>3125.75</v>
      </c>
    </row>
    <row r="15" spans="1:14" x14ac:dyDescent="0.3">
      <c r="A15" t="s">
        <v>976</v>
      </c>
      <c r="B15" s="1">
        <v>44929</v>
      </c>
      <c r="C15" t="s">
        <v>977</v>
      </c>
      <c r="D15" t="s">
        <v>61</v>
      </c>
      <c r="E15" t="s">
        <v>26</v>
      </c>
      <c r="F15" t="s">
        <v>46</v>
      </c>
      <c r="G15" t="s">
        <v>46</v>
      </c>
      <c r="H15" t="s">
        <v>47</v>
      </c>
      <c r="I15" t="s">
        <v>21</v>
      </c>
      <c r="J15" t="s">
        <v>106</v>
      </c>
      <c r="K15" s="2">
        <v>16538.400000000001</v>
      </c>
      <c r="L15" s="4">
        <v>1</v>
      </c>
      <c r="M15" s="3">
        <v>0.21</v>
      </c>
      <c r="N15" s="2">
        <v>-82.69</v>
      </c>
    </row>
    <row r="16" spans="1:14" x14ac:dyDescent="0.3">
      <c r="A16" t="s">
        <v>2032</v>
      </c>
      <c r="B16" s="1">
        <v>44929</v>
      </c>
      <c r="C16" t="s">
        <v>1807</v>
      </c>
      <c r="D16" t="s">
        <v>61</v>
      </c>
      <c r="E16" t="s">
        <v>17</v>
      </c>
      <c r="F16" t="s">
        <v>18</v>
      </c>
      <c r="G16" t="s">
        <v>19</v>
      </c>
      <c r="H16" t="s">
        <v>20</v>
      </c>
      <c r="I16" t="s">
        <v>21</v>
      </c>
      <c r="J16" t="s">
        <v>106</v>
      </c>
      <c r="K16" s="2">
        <v>8098.06</v>
      </c>
      <c r="L16" s="4">
        <v>3</v>
      </c>
      <c r="M16" s="3">
        <v>0.09</v>
      </c>
      <c r="N16" s="2">
        <v>445.39</v>
      </c>
    </row>
    <row r="17" spans="1:14" x14ac:dyDescent="0.3">
      <c r="A17" t="s">
        <v>792</v>
      </c>
      <c r="B17" s="1">
        <v>44930</v>
      </c>
      <c r="C17" t="s">
        <v>583</v>
      </c>
      <c r="D17" t="s">
        <v>50</v>
      </c>
      <c r="E17" t="s">
        <v>17</v>
      </c>
      <c r="F17" t="s">
        <v>46</v>
      </c>
      <c r="G17" t="s">
        <v>46</v>
      </c>
      <c r="H17" t="s">
        <v>47</v>
      </c>
      <c r="I17" t="s">
        <v>29</v>
      </c>
      <c r="J17" t="s">
        <v>30</v>
      </c>
      <c r="K17" s="2">
        <v>45338.11</v>
      </c>
      <c r="L17" s="4">
        <v>9</v>
      </c>
      <c r="M17" s="3">
        <v>0.24</v>
      </c>
      <c r="N17" s="2">
        <v>-906.76</v>
      </c>
    </row>
    <row r="18" spans="1:14" x14ac:dyDescent="0.3">
      <c r="A18" t="s">
        <v>1614</v>
      </c>
      <c r="B18" s="1">
        <v>44930</v>
      </c>
      <c r="C18" t="s">
        <v>1615</v>
      </c>
      <c r="D18" t="s">
        <v>25</v>
      </c>
      <c r="E18" t="s">
        <v>26</v>
      </c>
      <c r="F18" t="s">
        <v>79</v>
      </c>
      <c r="G18" t="s">
        <v>80</v>
      </c>
      <c r="H18" t="s">
        <v>47</v>
      </c>
      <c r="I18" t="s">
        <v>21</v>
      </c>
      <c r="J18" t="s">
        <v>64</v>
      </c>
      <c r="K18" s="2">
        <v>43039.68</v>
      </c>
      <c r="L18" s="4">
        <v>5</v>
      </c>
      <c r="M18" s="3">
        <v>0.18</v>
      </c>
      <c r="N18" s="2">
        <v>430.4</v>
      </c>
    </row>
    <row r="19" spans="1:14" x14ac:dyDescent="0.3">
      <c r="A19" t="s">
        <v>2231</v>
      </c>
      <c r="B19" s="1">
        <v>44930</v>
      </c>
      <c r="C19" t="s">
        <v>1251</v>
      </c>
      <c r="D19" t="s">
        <v>61</v>
      </c>
      <c r="E19" t="s">
        <v>17</v>
      </c>
      <c r="F19" t="s">
        <v>18</v>
      </c>
      <c r="G19" t="s">
        <v>19</v>
      </c>
      <c r="H19" t="s">
        <v>20</v>
      </c>
      <c r="I19" t="s">
        <v>21</v>
      </c>
      <c r="J19" t="s">
        <v>64</v>
      </c>
      <c r="K19" s="2">
        <v>24066.98</v>
      </c>
      <c r="L19" s="4">
        <v>9</v>
      </c>
      <c r="M19" s="3">
        <v>0.17</v>
      </c>
      <c r="N19" s="2">
        <v>361</v>
      </c>
    </row>
    <row r="20" spans="1:14" x14ac:dyDescent="0.3">
      <c r="A20" t="s">
        <v>1453</v>
      </c>
      <c r="B20" s="1">
        <v>44931</v>
      </c>
      <c r="C20" t="s">
        <v>873</v>
      </c>
      <c r="D20" t="s">
        <v>85</v>
      </c>
      <c r="E20" t="s">
        <v>51</v>
      </c>
      <c r="F20" t="s">
        <v>18</v>
      </c>
      <c r="G20" t="s">
        <v>19</v>
      </c>
      <c r="H20" t="s">
        <v>20</v>
      </c>
      <c r="I20" t="s">
        <v>29</v>
      </c>
      <c r="J20" t="s">
        <v>106</v>
      </c>
      <c r="K20" s="2">
        <v>2356.3000000000002</v>
      </c>
      <c r="L20" s="4">
        <v>5</v>
      </c>
      <c r="M20" s="3">
        <v>0.06</v>
      </c>
      <c r="N20" s="2">
        <v>164.94</v>
      </c>
    </row>
    <row r="21" spans="1:14" x14ac:dyDescent="0.3">
      <c r="A21" t="s">
        <v>449</v>
      </c>
      <c r="B21" s="1">
        <v>44932</v>
      </c>
      <c r="C21" t="s">
        <v>450</v>
      </c>
      <c r="D21" t="s">
        <v>61</v>
      </c>
      <c r="E21" t="s">
        <v>26</v>
      </c>
      <c r="F21" t="s">
        <v>40</v>
      </c>
      <c r="G21" t="s">
        <v>41</v>
      </c>
      <c r="H21" t="s">
        <v>42</v>
      </c>
      <c r="I21" t="s">
        <v>29</v>
      </c>
      <c r="J21" t="s">
        <v>37</v>
      </c>
      <c r="K21" s="2">
        <v>42645.279999999999</v>
      </c>
      <c r="L21" s="4">
        <v>5</v>
      </c>
      <c r="M21" s="3">
        <v>0.3</v>
      </c>
      <c r="N21" s="2">
        <v>-2132.2600000000002</v>
      </c>
    </row>
    <row r="22" spans="1:14" x14ac:dyDescent="0.3">
      <c r="A22" t="s">
        <v>867</v>
      </c>
      <c r="B22" s="1">
        <v>44932</v>
      </c>
      <c r="C22" t="s">
        <v>868</v>
      </c>
      <c r="D22" t="s">
        <v>16</v>
      </c>
      <c r="E22" t="s">
        <v>17</v>
      </c>
      <c r="F22" t="s">
        <v>27</v>
      </c>
      <c r="G22" t="s">
        <v>28</v>
      </c>
      <c r="H22" t="s">
        <v>20</v>
      </c>
      <c r="I22" t="s">
        <v>21</v>
      </c>
      <c r="J22" t="s">
        <v>54</v>
      </c>
      <c r="K22" s="2">
        <v>24463.63</v>
      </c>
      <c r="L22" s="4">
        <v>7</v>
      </c>
      <c r="M22" s="3">
        <v>0.03</v>
      </c>
      <c r="N22" s="2">
        <v>2079.41</v>
      </c>
    </row>
    <row r="23" spans="1:14" x14ac:dyDescent="0.3">
      <c r="A23" t="s">
        <v>1575</v>
      </c>
      <c r="B23" s="1">
        <v>44932</v>
      </c>
      <c r="C23" t="s">
        <v>1257</v>
      </c>
      <c r="D23" t="s">
        <v>61</v>
      </c>
      <c r="E23" t="s">
        <v>26</v>
      </c>
      <c r="F23" t="s">
        <v>34</v>
      </c>
      <c r="G23" t="s">
        <v>35</v>
      </c>
      <c r="H23" t="s">
        <v>36</v>
      </c>
      <c r="I23" t="s">
        <v>21</v>
      </c>
      <c r="J23" t="s">
        <v>22</v>
      </c>
      <c r="K23" s="2">
        <v>34399.01</v>
      </c>
      <c r="L23" s="4">
        <v>3</v>
      </c>
      <c r="M23" s="3">
        <v>0.06</v>
      </c>
      <c r="N23" s="2">
        <v>2407.9299999999998</v>
      </c>
    </row>
    <row r="24" spans="1:14" x14ac:dyDescent="0.3">
      <c r="A24" t="s">
        <v>1702</v>
      </c>
      <c r="B24" s="1">
        <v>44932</v>
      </c>
      <c r="C24" t="s">
        <v>431</v>
      </c>
      <c r="D24" t="s">
        <v>33</v>
      </c>
      <c r="E24" t="s">
        <v>17</v>
      </c>
      <c r="F24" t="s">
        <v>18</v>
      </c>
      <c r="G24" t="s">
        <v>19</v>
      </c>
      <c r="H24" t="s">
        <v>20</v>
      </c>
      <c r="I24" t="s">
        <v>21</v>
      </c>
      <c r="J24" t="s">
        <v>64</v>
      </c>
      <c r="K24" s="2">
        <v>16212.34</v>
      </c>
      <c r="L24" s="4">
        <v>10</v>
      </c>
      <c r="M24" s="3">
        <v>0.13</v>
      </c>
      <c r="N24" s="2">
        <v>567.42999999999995</v>
      </c>
    </row>
    <row r="25" spans="1:14" x14ac:dyDescent="0.3">
      <c r="A25" t="s">
        <v>394</v>
      </c>
      <c r="B25" s="1">
        <v>44932</v>
      </c>
      <c r="C25" t="s">
        <v>395</v>
      </c>
      <c r="D25" t="s">
        <v>85</v>
      </c>
      <c r="E25" t="s">
        <v>17</v>
      </c>
      <c r="F25" t="s">
        <v>40</v>
      </c>
      <c r="G25" t="s">
        <v>41</v>
      </c>
      <c r="H25" t="s">
        <v>42</v>
      </c>
      <c r="I25" t="s">
        <v>43</v>
      </c>
      <c r="J25" t="s">
        <v>106</v>
      </c>
      <c r="K25" s="2">
        <v>40890.18</v>
      </c>
      <c r="L25" s="4">
        <v>9</v>
      </c>
      <c r="M25" s="3">
        <v>0.04</v>
      </c>
      <c r="N25" s="2">
        <v>3271.21</v>
      </c>
    </row>
    <row r="26" spans="1:14" x14ac:dyDescent="0.3">
      <c r="A26" t="s">
        <v>1138</v>
      </c>
      <c r="B26" s="1">
        <v>44932</v>
      </c>
      <c r="C26" t="s">
        <v>1139</v>
      </c>
      <c r="D26" t="s">
        <v>85</v>
      </c>
      <c r="E26" t="s">
        <v>26</v>
      </c>
      <c r="F26" t="s">
        <v>46</v>
      </c>
      <c r="G26" t="s">
        <v>46</v>
      </c>
      <c r="H26" t="s">
        <v>47</v>
      </c>
      <c r="I26" t="s">
        <v>43</v>
      </c>
      <c r="J26" t="s">
        <v>22</v>
      </c>
      <c r="K26" s="2">
        <v>5350.95</v>
      </c>
      <c r="L26" s="4">
        <v>1</v>
      </c>
      <c r="M26" s="3">
        <v>0.28999999999999998</v>
      </c>
      <c r="N26" s="2">
        <v>-240.79</v>
      </c>
    </row>
    <row r="27" spans="1:14" x14ac:dyDescent="0.3">
      <c r="A27" t="s">
        <v>825</v>
      </c>
      <c r="B27" s="1">
        <v>44933</v>
      </c>
      <c r="C27" t="s">
        <v>826</v>
      </c>
      <c r="D27" t="s">
        <v>25</v>
      </c>
      <c r="E27" t="s">
        <v>51</v>
      </c>
      <c r="F27" t="s">
        <v>27</v>
      </c>
      <c r="G27" t="s">
        <v>28</v>
      </c>
      <c r="H27" t="s">
        <v>20</v>
      </c>
      <c r="I27" t="s">
        <v>29</v>
      </c>
      <c r="J27" t="s">
        <v>106</v>
      </c>
      <c r="K27" s="2">
        <v>11696.8</v>
      </c>
      <c r="L27" s="4">
        <v>5</v>
      </c>
      <c r="M27" s="3">
        <v>0.27</v>
      </c>
      <c r="N27" s="2">
        <v>-409.39</v>
      </c>
    </row>
    <row r="28" spans="1:14" x14ac:dyDescent="0.3">
      <c r="A28" t="s">
        <v>1061</v>
      </c>
      <c r="B28" s="1">
        <v>44933</v>
      </c>
      <c r="C28" t="s">
        <v>15</v>
      </c>
      <c r="D28" t="s">
        <v>33</v>
      </c>
      <c r="E28" t="s">
        <v>51</v>
      </c>
      <c r="F28" t="s">
        <v>27</v>
      </c>
      <c r="G28" t="s">
        <v>28</v>
      </c>
      <c r="H28" t="s">
        <v>20</v>
      </c>
      <c r="I28" t="s">
        <v>29</v>
      </c>
      <c r="J28" t="s">
        <v>30</v>
      </c>
      <c r="K28" s="2">
        <v>21198.14</v>
      </c>
      <c r="L28" s="4">
        <v>9</v>
      </c>
      <c r="M28" s="3">
        <v>0.15</v>
      </c>
      <c r="N28" s="2">
        <v>529.95000000000005</v>
      </c>
    </row>
    <row r="29" spans="1:14" x14ac:dyDescent="0.3">
      <c r="A29" t="s">
        <v>1272</v>
      </c>
      <c r="B29" s="1">
        <v>44933</v>
      </c>
      <c r="C29" t="s">
        <v>1021</v>
      </c>
      <c r="D29" t="s">
        <v>61</v>
      </c>
      <c r="E29" t="s">
        <v>17</v>
      </c>
      <c r="F29" t="s">
        <v>79</v>
      </c>
      <c r="G29" t="s">
        <v>80</v>
      </c>
      <c r="H29" t="s">
        <v>47</v>
      </c>
      <c r="I29" t="s">
        <v>43</v>
      </c>
      <c r="J29" t="s">
        <v>64</v>
      </c>
      <c r="K29" s="2">
        <v>29156.19</v>
      </c>
      <c r="L29" s="4">
        <v>10</v>
      </c>
      <c r="M29" s="3">
        <v>0.18</v>
      </c>
      <c r="N29" s="2">
        <v>291.56</v>
      </c>
    </row>
    <row r="30" spans="1:14" x14ac:dyDescent="0.3">
      <c r="A30" t="s">
        <v>1276</v>
      </c>
      <c r="B30" s="1">
        <v>44933</v>
      </c>
      <c r="C30" t="s">
        <v>435</v>
      </c>
      <c r="D30" t="s">
        <v>33</v>
      </c>
      <c r="E30" t="s">
        <v>17</v>
      </c>
      <c r="F30" t="s">
        <v>34</v>
      </c>
      <c r="G30" t="s">
        <v>35</v>
      </c>
      <c r="H30" t="s">
        <v>36</v>
      </c>
      <c r="I30" t="s">
        <v>21</v>
      </c>
      <c r="J30" t="s">
        <v>37</v>
      </c>
      <c r="K30" s="2">
        <v>7353.73</v>
      </c>
      <c r="L30" s="4">
        <v>5</v>
      </c>
      <c r="M30" s="3">
        <v>0.12</v>
      </c>
      <c r="N30" s="2">
        <v>294.14999999999998</v>
      </c>
    </row>
    <row r="31" spans="1:14" x14ac:dyDescent="0.3">
      <c r="A31" t="s">
        <v>1606</v>
      </c>
      <c r="B31" s="1">
        <v>44933</v>
      </c>
      <c r="C31" t="s">
        <v>1607</v>
      </c>
      <c r="D31" t="s">
        <v>85</v>
      </c>
      <c r="E31" t="s">
        <v>51</v>
      </c>
      <c r="F31" t="s">
        <v>40</v>
      </c>
      <c r="G31" t="s">
        <v>41</v>
      </c>
      <c r="H31" t="s">
        <v>42</v>
      </c>
      <c r="I31" t="s">
        <v>43</v>
      </c>
      <c r="J31" t="s">
        <v>64</v>
      </c>
      <c r="K31" s="2">
        <v>34831.97</v>
      </c>
      <c r="L31" s="4">
        <v>1</v>
      </c>
      <c r="M31" s="3">
        <v>0.25</v>
      </c>
      <c r="N31" s="2">
        <v>-870.8</v>
      </c>
    </row>
    <row r="32" spans="1:14" x14ac:dyDescent="0.3">
      <c r="A32" t="s">
        <v>1689</v>
      </c>
      <c r="B32" s="1">
        <v>44933</v>
      </c>
      <c r="C32" t="s">
        <v>748</v>
      </c>
      <c r="D32" t="s">
        <v>85</v>
      </c>
      <c r="E32" t="s">
        <v>17</v>
      </c>
      <c r="F32" t="s">
        <v>46</v>
      </c>
      <c r="G32" t="s">
        <v>46</v>
      </c>
      <c r="H32" t="s">
        <v>47</v>
      </c>
      <c r="I32" t="s">
        <v>43</v>
      </c>
      <c r="J32" t="s">
        <v>58</v>
      </c>
      <c r="K32" s="2">
        <v>27698.11</v>
      </c>
      <c r="L32" s="4">
        <v>1</v>
      </c>
      <c r="M32" s="3">
        <v>0.08</v>
      </c>
      <c r="N32" s="2">
        <v>1661.89</v>
      </c>
    </row>
    <row r="33" spans="1:14" x14ac:dyDescent="0.3">
      <c r="A33" t="s">
        <v>2265</v>
      </c>
      <c r="B33" s="1">
        <v>44933</v>
      </c>
      <c r="C33" t="s">
        <v>2266</v>
      </c>
      <c r="D33" t="s">
        <v>57</v>
      </c>
      <c r="E33" t="s">
        <v>51</v>
      </c>
      <c r="F33" t="s">
        <v>46</v>
      </c>
      <c r="G33" t="s">
        <v>46</v>
      </c>
      <c r="H33" t="s">
        <v>47</v>
      </c>
      <c r="I33" t="s">
        <v>21</v>
      </c>
      <c r="J33" t="s">
        <v>58</v>
      </c>
      <c r="K33" s="2">
        <v>1826.68</v>
      </c>
      <c r="L33" s="4">
        <v>3</v>
      </c>
      <c r="M33" s="3">
        <v>0.13</v>
      </c>
      <c r="N33" s="2">
        <v>63.93</v>
      </c>
    </row>
    <row r="34" spans="1:14" x14ac:dyDescent="0.3">
      <c r="A34" t="s">
        <v>1503</v>
      </c>
      <c r="B34" s="1">
        <v>44934</v>
      </c>
      <c r="C34" t="s">
        <v>1257</v>
      </c>
      <c r="D34" t="s">
        <v>25</v>
      </c>
      <c r="E34" t="s">
        <v>17</v>
      </c>
      <c r="F34" t="s">
        <v>79</v>
      </c>
      <c r="G34" t="s">
        <v>80</v>
      </c>
      <c r="H34" t="s">
        <v>47</v>
      </c>
      <c r="I34" t="s">
        <v>43</v>
      </c>
      <c r="J34" t="s">
        <v>64</v>
      </c>
      <c r="K34" s="2">
        <v>18960.990000000002</v>
      </c>
      <c r="L34" s="4">
        <v>4</v>
      </c>
      <c r="M34" s="3">
        <v>0.23</v>
      </c>
      <c r="N34" s="2">
        <v>-284.41000000000003</v>
      </c>
    </row>
    <row r="35" spans="1:14" x14ac:dyDescent="0.3">
      <c r="A35" t="s">
        <v>1120</v>
      </c>
      <c r="B35" s="1">
        <v>44934</v>
      </c>
      <c r="C35" t="s">
        <v>1121</v>
      </c>
      <c r="D35" t="s">
        <v>61</v>
      </c>
      <c r="E35" t="s">
        <v>26</v>
      </c>
      <c r="F35" t="s">
        <v>40</v>
      </c>
      <c r="G35" t="s">
        <v>41</v>
      </c>
      <c r="H35" t="s">
        <v>42</v>
      </c>
      <c r="I35" t="s">
        <v>43</v>
      </c>
      <c r="J35" t="s">
        <v>22</v>
      </c>
      <c r="K35" s="2">
        <v>932.51</v>
      </c>
      <c r="L35" s="4">
        <v>6</v>
      </c>
      <c r="M35" s="3">
        <v>0.25</v>
      </c>
      <c r="N35" s="2">
        <v>-23.31</v>
      </c>
    </row>
    <row r="36" spans="1:14" x14ac:dyDescent="0.3">
      <c r="A36" t="s">
        <v>1364</v>
      </c>
      <c r="B36" s="1">
        <v>44934</v>
      </c>
      <c r="C36" t="s">
        <v>1139</v>
      </c>
      <c r="D36" t="s">
        <v>85</v>
      </c>
      <c r="E36" t="s">
        <v>51</v>
      </c>
      <c r="F36" t="s">
        <v>79</v>
      </c>
      <c r="G36" t="s">
        <v>80</v>
      </c>
      <c r="H36" t="s">
        <v>47</v>
      </c>
      <c r="I36" t="s">
        <v>43</v>
      </c>
      <c r="J36" t="s">
        <v>37</v>
      </c>
      <c r="K36" s="2">
        <v>45914.89</v>
      </c>
      <c r="L36" s="4">
        <v>8</v>
      </c>
      <c r="M36" s="3">
        <v>0.21</v>
      </c>
      <c r="N36" s="2">
        <v>-229.57</v>
      </c>
    </row>
    <row r="37" spans="1:14" x14ac:dyDescent="0.3">
      <c r="A37" t="s">
        <v>468</v>
      </c>
      <c r="B37" s="1">
        <v>44934</v>
      </c>
      <c r="C37" t="s">
        <v>469</v>
      </c>
      <c r="D37" t="s">
        <v>85</v>
      </c>
      <c r="E37" t="s">
        <v>51</v>
      </c>
      <c r="F37" t="s">
        <v>27</v>
      </c>
      <c r="G37" t="s">
        <v>28</v>
      </c>
      <c r="H37" t="s">
        <v>20</v>
      </c>
      <c r="I37" t="s">
        <v>29</v>
      </c>
      <c r="J37" t="s">
        <v>54</v>
      </c>
      <c r="K37" s="2">
        <v>746.24</v>
      </c>
      <c r="L37" s="4">
        <v>2</v>
      </c>
      <c r="M37" s="3">
        <v>0.08</v>
      </c>
      <c r="N37" s="2">
        <v>44.77</v>
      </c>
    </row>
    <row r="38" spans="1:14" x14ac:dyDescent="0.3">
      <c r="A38" t="s">
        <v>1622</v>
      </c>
      <c r="B38" s="1">
        <v>44935</v>
      </c>
      <c r="C38" t="s">
        <v>1152</v>
      </c>
      <c r="D38" t="s">
        <v>16</v>
      </c>
      <c r="E38" t="s">
        <v>51</v>
      </c>
      <c r="F38" t="s">
        <v>27</v>
      </c>
      <c r="G38" t="s">
        <v>28</v>
      </c>
      <c r="H38" t="s">
        <v>20</v>
      </c>
      <c r="I38" t="s">
        <v>43</v>
      </c>
      <c r="J38" t="s">
        <v>37</v>
      </c>
      <c r="K38" s="2">
        <v>1889.2</v>
      </c>
      <c r="L38" s="4">
        <v>8</v>
      </c>
      <c r="M38" s="3">
        <v>0.03</v>
      </c>
      <c r="N38" s="2">
        <v>160.58000000000001</v>
      </c>
    </row>
    <row r="39" spans="1:14" x14ac:dyDescent="0.3">
      <c r="A39" t="s">
        <v>2223</v>
      </c>
      <c r="B39" s="1">
        <v>44935</v>
      </c>
      <c r="C39" t="s">
        <v>622</v>
      </c>
      <c r="D39" t="s">
        <v>50</v>
      </c>
      <c r="E39" t="s">
        <v>26</v>
      </c>
      <c r="F39" t="s">
        <v>79</v>
      </c>
      <c r="G39" t="s">
        <v>80</v>
      </c>
      <c r="H39" t="s">
        <v>47</v>
      </c>
      <c r="I39" t="s">
        <v>43</v>
      </c>
      <c r="J39" t="s">
        <v>37</v>
      </c>
      <c r="K39" s="2">
        <v>4144.83</v>
      </c>
      <c r="L39" s="4">
        <v>2</v>
      </c>
      <c r="M39" s="3">
        <v>0.22</v>
      </c>
      <c r="N39" s="2">
        <v>-41.45</v>
      </c>
    </row>
    <row r="40" spans="1:14" x14ac:dyDescent="0.3">
      <c r="A40" t="s">
        <v>2261</v>
      </c>
      <c r="B40" s="1">
        <v>44935</v>
      </c>
      <c r="C40" t="s">
        <v>1303</v>
      </c>
      <c r="D40" t="s">
        <v>16</v>
      </c>
      <c r="E40" t="s">
        <v>51</v>
      </c>
      <c r="F40" t="s">
        <v>40</v>
      </c>
      <c r="G40" t="s">
        <v>41</v>
      </c>
      <c r="H40" t="s">
        <v>42</v>
      </c>
      <c r="I40" t="s">
        <v>29</v>
      </c>
      <c r="J40" t="s">
        <v>54</v>
      </c>
      <c r="K40" s="2">
        <v>22880.12</v>
      </c>
      <c r="L40" s="4">
        <v>7</v>
      </c>
      <c r="M40" s="3">
        <v>0.06</v>
      </c>
      <c r="N40" s="2">
        <v>1601.61</v>
      </c>
    </row>
    <row r="41" spans="1:14" x14ac:dyDescent="0.3">
      <c r="A41" t="s">
        <v>1391</v>
      </c>
      <c r="B41" s="1">
        <v>44935</v>
      </c>
      <c r="C41" t="s">
        <v>1392</v>
      </c>
      <c r="D41" t="s">
        <v>33</v>
      </c>
      <c r="E41" t="s">
        <v>17</v>
      </c>
      <c r="F41" t="s">
        <v>18</v>
      </c>
      <c r="G41" t="s">
        <v>19</v>
      </c>
      <c r="H41" t="s">
        <v>20</v>
      </c>
      <c r="I41" t="s">
        <v>29</v>
      </c>
      <c r="J41" t="s">
        <v>58</v>
      </c>
      <c r="K41" s="2">
        <v>6437.04</v>
      </c>
      <c r="L41" s="4">
        <v>6</v>
      </c>
      <c r="M41" s="3">
        <v>0.23</v>
      </c>
      <c r="N41" s="2">
        <v>-96.56</v>
      </c>
    </row>
    <row r="42" spans="1:14" x14ac:dyDescent="0.3">
      <c r="A42" t="s">
        <v>733</v>
      </c>
      <c r="B42" s="1">
        <v>44935</v>
      </c>
      <c r="C42" t="s">
        <v>734</v>
      </c>
      <c r="D42" t="s">
        <v>25</v>
      </c>
      <c r="E42" t="s">
        <v>51</v>
      </c>
      <c r="F42" t="s">
        <v>46</v>
      </c>
      <c r="G42" t="s">
        <v>46</v>
      </c>
      <c r="H42" t="s">
        <v>47</v>
      </c>
      <c r="I42" t="s">
        <v>21</v>
      </c>
      <c r="J42" t="s">
        <v>58</v>
      </c>
      <c r="K42" s="2">
        <v>13475.72</v>
      </c>
      <c r="L42" s="4">
        <v>7</v>
      </c>
      <c r="M42" s="3">
        <v>0.19</v>
      </c>
      <c r="N42" s="2">
        <v>67.38</v>
      </c>
    </row>
    <row r="43" spans="1:14" x14ac:dyDescent="0.3">
      <c r="A43" t="s">
        <v>795</v>
      </c>
      <c r="B43" s="1">
        <v>44936</v>
      </c>
      <c r="C43" t="s">
        <v>327</v>
      </c>
      <c r="D43" t="s">
        <v>61</v>
      </c>
      <c r="E43" t="s">
        <v>51</v>
      </c>
      <c r="F43" t="s">
        <v>18</v>
      </c>
      <c r="G43" t="s">
        <v>19</v>
      </c>
      <c r="H43" t="s">
        <v>20</v>
      </c>
      <c r="I43" t="s">
        <v>29</v>
      </c>
      <c r="J43" t="s">
        <v>30</v>
      </c>
      <c r="K43" s="2">
        <v>14611.63</v>
      </c>
      <c r="L43" s="4">
        <v>10</v>
      </c>
      <c r="M43" s="3">
        <v>0.11</v>
      </c>
      <c r="N43" s="2">
        <v>657.52</v>
      </c>
    </row>
    <row r="44" spans="1:14" x14ac:dyDescent="0.3">
      <c r="A44" t="s">
        <v>1722</v>
      </c>
      <c r="B44" s="1">
        <v>44936</v>
      </c>
      <c r="C44" t="s">
        <v>1229</v>
      </c>
      <c r="D44" t="s">
        <v>16</v>
      </c>
      <c r="E44" t="s">
        <v>51</v>
      </c>
      <c r="F44" t="s">
        <v>79</v>
      </c>
      <c r="G44" t="s">
        <v>80</v>
      </c>
      <c r="H44" t="s">
        <v>47</v>
      </c>
      <c r="I44" t="s">
        <v>21</v>
      </c>
      <c r="J44" t="s">
        <v>64</v>
      </c>
      <c r="K44" s="2">
        <v>15574.84</v>
      </c>
      <c r="L44" s="4">
        <v>6</v>
      </c>
      <c r="M44" s="3">
        <v>7.0000000000000007E-2</v>
      </c>
      <c r="N44" s="2">
        <v>1012.36</v>
      </c>
    </row>
    <row r="45" spans="1:14" x14ac:dyDescent="0.3">
      <c r="A45" t="s">
        <v>2152</v>
      </c>
      <c r="B45" s="1">
        <v>44936</v>
      </c>
      <c r="C45" t="s">
        <v>122</v>
      </c>
      <c r="D45" t="s">
        <v>85</v>
      </c>
      <c r="E45" t="s">
        <v>17</v>
      </c>
      <c r="F45" t="s">
        <v>27</v>
      </c>
      <c r="G45" t="s">
        <v>28</v>
      </c>
      <c r="H45" t="s">
        <v>20</v>
      </c>
      <c r="I45" t="s">
        <v>43</v>
      </c>
      <c r="J45" t="s">
        <v>64</v>
      </c>
      <c r="K45" s="2">
        <v>6378.74</v>
      </c>
      <c r="L45" s="4">
        <v>6</v>
      </c>
      <c r="M45" s="3">
        <v>0.14000000000000001</v>
      </c>
      <c r="N45" s="2">
        <v>191.36</v>
      </c>
    </row>
    <row r="46" spans="1:14" x14ac:dyDescent="0.3">
      <c r="A46" t="s">
        <v>2275</v>
      </c>
      <c r="B46" s="1">
        <v>44936</v>
      </c>
      <c r="C46" t="s">
        <v>2276</v>
      </c>
      <c r="D46" t="s">
        <v>50</v>
      </c>
      <c r="E46" t="s">
        <v>51</v>
      </c>
      <c r="F46" t="s">
        <v>40</v>
      </c>
      <c r="G46" t="s">
        <v>41</v>
      </c>
      <c r="H46" t="s">
        <v>42</v>
      </c>
      <c r="I46" t="s">
        <v>21</v>
      </c>
      <c r="J46" t="s">
        <v>30</v>
      </c>
      <c r="K46" s="2">
        <v>38709.85</v>
      </c>
      <c r="L46" s="4">
        <v>9</v>
      </c>
      <c r="M46" s="3">
        <v>0.04</v>
      </c>
      <c r="N46" s="2">
        <v>3096.79</v>
      </c>
    </row>
    <row r="47" spans="1:14" x14ac:dyDescent="0.3">
      <c r="A47" t="s">
        <v>1444</v>
      </c>
      <c r="B47" s="1">
        <v>44936</v>
      </c>
      <c r="C47" t="s">
        <v>1445</v>
      </c>
      <c r="D47" t="s">
        <v>57</v>
      </c>
      <c r="E47" t="s">
        <v>17</v>
      </c>
      <c r="F47" t="s">
        <v>40</v>
      </c>
      <c r="G47" t="s">
        <v>41</v>
      </c>
      <c r="H47" t="s">
        <v>42</v>
      </c>
      <c r="I47" t="s">
        <v>29</v>
      </c>
      <c r="J47" t="s">
        <v>106</v>
      </c>
      <c r="K47" s="2">
        <v>2569.15</v>
      </c>
      <c r="L47" s="4">
        <v>6</v>
      </c>
      <c r="M47" s="3">
        <v>0.24</v>
      </c>
      <c r="N47" s="2">
        <v>-51.38</v>
      </c>
    </row>
    <row r="48" spans="1:14" x14ac:dyDescent="0.3">
      <c r="A48" t="s">
        <v>1500</v>
      </c>
      <c r="B48" s="1">
        <v>44936</v>
      </c>
      <c r="C48" t="s">
        <v>1501</v>
      </c>
      <c r="D48" t="s">
        <v>16</v>
      </c>
      <c r="E48" t="s">
        <v>51</v>
      </c>
      <c r="F48" t="s">
        <v>18</v>
      </c>
      <c r="G48" t="s">
        <v>19</v>
      </c>
      <c r="H48" t="s">
        <v>20</v>
      </c>
      <c r="I48" t="s">
        <v>21</v>
      </c>
      <c r="J48" t="s">
        <v>30</v>
      </c>
      <c r="K48" s="2">
        <v>19273.39</v>
      </c>
      <c r="L48" s="4">
        <v>9</v>
      </c>
      <c r="M48" s="3">
        <v>0.27</v>
      </c>
      <c r="N48" s="2">
        <v>-674.57</v>
      </c>
    </row>
    <row r="49" spans="1:14" x14ac:dyDescent="0.3">
      <c r="A49" t="s">
        <v>1716</v>
      </c>
      <c r="B49" s="1">
        <v>44937</v>
      </c>
      <c r="C49" t="s">
        <v>166</v>
      </c>
      <c r="D49" t="s">
        <v>57</v>
      </c>
      <c r="E49" t="s">
        <v>51</v>
      </c>
      <c r="F49" t="s">
        <v>79</v>
      </c>
      <c r="G49" t="s">
        <v>80</v>
      </c>
      <c r="H49" t="s">
        <v>47</v>
      </c>
      <c r="I49" t="s">
        <v>29</v>
      </c>
      <c r="J49" t="s">
        <v>30</v>
      </c>
      <c r="K49" s="2">
        <v>29086.85</v>
      </c>
      <c r="L49" s="4">
        <v>4</v>
      </c>
      <c r="M49" s="3">
        <v>0.23</v>
      </c>
      <c r="N49" s="2">
        <v>-436.3</v>
      </c>
    </row>
    <row r="50" spans="1:14" x14ac:dyDescent="0.3">
      <c r="A50" t="s">
        <v>1825</v>
      </c>
      <c r="B50" s="1">
        <v>44937</v>
      </c>
      <c r="C50" t="s">
        <v>1826</v>
      </c>
      <c r="D50" t="s">
        <v>33</v>
      </c>
      <c r="E50" t="s">
        <v>26</v>
      </c>
      <c r="F50" t="s">
        <v>34</v>
      </c>
      <c r="G50" t="s">
        <v>35</v>
      </c>
      <c r="H50" t="s">
        <v>36</v>
      </c>
      <c r="I50" t="s">
        <v>29</v>
      </c>
      <c r="J50" t="s">
        <v>30</v>
      </c>
      <c r="K50" s="2">
        <v>34986.379999999997</v>
      </c>
      <c r="L50" s="4">
        <v>7</v>
      </c>
      <c r="M50" s="3">
        <v>0.09</v>
      </c>
      <c r="N50" s="2">
        <v>1924.25</v>
      </c>
    </row>
    <row r="51" spans="1:14" x14ac:dyDescent="0.3">
      <c r="A51" t="s">
        <v>2113</v>
      </c>
      <c r="B51" s="1">
        <v>44937</v>
      </c>
      <c r="C51" t="s">
        <v>535</v>
      </c>
      <c r="D51" t="s">
        <v>50</v>
      </c>
      <c r="E51" t="s">
        <v>26</v>
      </c>
      <c r="F51" t="s">
        <v>18</v>
      </c>
      <c r="G51" t="s">
        <v>19</v>
      </c>
      <c r="H51" t="s">
        <v>20</v>
      </c>
      <c r="I51" t="s">
        <v>29</v>
      </c>
      <c r="J51" t="s">
        <v>54</v>
      </c>
      <c r="K51" s="2">
        <v>42220.83</v>
      </c>
      <c r="L51" s="4">
        <v>3</v>
      </c>
      <c r="M51" s="3">
        <v>0.08</v>
      </c>
      <c r="N51" s="2">
        <v>2533.25</v>
      </c>
    </row>
    <row r="52" spans="1:14" x14ac:dyDescent="0.3">
      <c r="A52" t="s">
        <v>1609</v>
      </c>
      <c r="B52" s="1">
        <v>44938</v>
      </c>
      <c r="C52" t="s">
        <v>1610</v>
      </c>
      <c r="D52" t="s">
        <v>57</v>
      </c>
      <c r="E52" t="s">
        <v>51</v>
      </c>
      <c r="F52" t="s">
        <v>18</v>
      </c>
      <c r="G52" t="s">
        <v>19</v>
      </c>
      <c r="H52" t="s">
        <v>20</v>
      </c>
      <c r="I52" t="s">
        <v>29</v>
      </c>
      <c r="J52" t="s">
        <v>106</v>
      </c>
      <c r="K52" s="2">
        <v>46309.15</v>
      </c>
      <c r="L52" s="4">
        <v>4</v>
      </c>
      <c r="M52" s="3">
        <v>0.13</v>
      </c>
      <c r="N52" s="2">
        <v>1620.82</v>
      </c>
    </row>
    <row r="53" spans="1:14" x14ac:dyDescent="0.3">
      <c r="A53" t="s">
        <v>1632</v>
      </c>
      <c r="B53" s="1">
        <v>44938</v>
      </c>
      <c r="C53" t="s">
        <v>1021</v>
      </c>
      <c r="D53" t="s">
        <v>57</v>
      </c>
      <c r="E53" t="s">
        <v>26</v>
      </c>
      <c r="F53" t="s">
        <v>18</v>
      </c>
      <c r="G53" t="s">
        <v>19</v>
      </c>
      <c r="H53" t="s">
        <v>20</v>
      </c>
      <c r="I53" t="s">
        <v>29</v>
      </c>
      <c r="J53" t="s">
        <v>37</v>
      </c>
      <c r="K53" s="2">
        <v>41272.089999999997</v>
      </c>
      <c r="L53" s="4">
        <v>9</v>
      </c>
      <c r="M53" s="3">
        <v>0.09</v>
      </c>
      <c r="N53" s="2">
        <v>2269.96</v>
      </c>
    </row>
    <row r="54" spans="1:14" x14ac:dyDescent="0.3">
      <c r="A54" t="s">
        <v>2229</v>
      </c>
      <c r="B54" s="1">
        <v>44938</v>
      </c>
      <c r="C54" t="s">
        <v>1398</v>
      </c>
      <c r="D54" t="s">
        <v>25</v>
      </c>
      <c r="E54" t="s">
        <v>17</v>
      </c>
      <c r="F54" t="s">
        <v>79</v>
      </c>
      <c r="G54" t="s">
        <v>80</v>
      </c>
      <c r="H54" t="s">
        <v>47</v>
      </c>
      <c r="I54" t="s">
        <v>29</v>
      </c>
      <c r="J54" t="s">
        <v>64</v>
      </c>
      <c r="K54" s="2">
        <v>25539.5</v>
      </c>
      <c r="L54" s="4">
        <v>10</v>
      </c>
      <c r="M54" s="3">
        <v>0.3</v>
      </c>
      <c r="N54" s="2">
        <v>-1276.97</v>
      </c>
    </row>
    <row r="55" spans="1:14" x14ac:dyDescent="0.3">
      <c r="A55" t="s">
        <v>2021</v>
      </c>
      <c r="B55" s="1">
        <v>44938</v>
      </c>
      <c r="C55" t="s">
        <v>1195</v>
      </c>
      <c r="D55" t="s">
        <v>50</v>
      </c>
      <c r="E55" t="s">
        <v>51</v>
      </c>
      <c r="F55" t="s">
        <v>40</v>
      </c>
      <c r="G55" t="s">
        <v>41</v>
      </c>
      <c r="H55" t="s">
        <v>42</v>
      </c>
      <c r="I55" t="s">
        <v>29</v>
      </c>
      <c r="J55" t="s">
        <v>106</v>
      </c>
      <c r="K55" s="2">
        <v>24301.05</v>
      </c>
      <c r="L55" s="4">
        <v>9</v>
      </c>
      <c r="M55" s="3">
        <v>0.2</v>
      </c>
      <c r="N55" s="2">
        <v>0</v>
      </c>
    </row>
    <row r="56" spans="1:14" x14ac:dyDescent="0.3">
      <c r="A56" t="s">
        <v>261</v>
      </c>
      <c r="B56" s="1">
        <v>44939</v>
      </c>
      <c r="C56" t="s">
        <v>262</v>
      </c>
      <c r="D56" t="s">
        <v>25</v>
      </c>
      <c r="E56" t="s">
        <v>26</v>
      </c>
      <c r="F56" t="s">
        <v>40</v>
      </c>
      <c r="G56" t="s">
        <v>41</v>
      </c>
      <c r="H56" t="s">
        <v>42</v>
      </c>
      <c r="I56" t="s">
        <v>21</v>
      </c>
      <c r="J56" t="s">
        <v>30</v>
      </c>
      <c r="K56" s="2">
        <v>41278.019999999997</v>
      </c>
      <c r="L56" s="4">
        <v>3</v>
      </c>
      <c r="M56" s="3">
        <v>0.23</v>
      </c>
      <c r="N56" s="2">
        <v>-619.16999999999996</v>
      </c>
    </row>
    <row r="57" spans="1:14" x14ac:dyDescent="0.3">
      <c r="A57" t="s">
        <v>273</v>
      </c>
      <c r="B57" s="1">
        <v>44939</v>
      </c>
      <c r="C57" t="s">
        <v>274</v>
      </c>
      <c r="D57" t="s">
        <v>33</v>
      </c>
      <c r="E57" t="s">
        <v>17</v>
      </c>
      <c r="F57" t="s">
        <v>27</v>
      </c>
      <c r="G57" t="s">
        <v>28</v>
      </c>
      <c r="H57" t="s">
        <v>20</v>
      </c>
      <c r="I57" t="s">
        <v>21</v>
      </c>
      <c r="J57" t="s">
        <v>54</v>
      </c>
      <c r="K57" s="2">
        <v>17429.3</v>
      </c>
      <c r="L57" s="4">
        <v>10</v>
      </c>
      <c r="M57" s="3">
        <v>0.11</v>
      </c>
      <c r="N57" s="2">
        <v>784.32</v>
      </c>
    </row>
    <row r="58" spans="1:14" x14ac:dyDescent="0.3">
      <c r="A58" t="s">
        <v>1466</v>
      </c>
      <c r="B58" s="1">
        <v>44939</v>
      </c>
      <c r="C58" t="s">
        <v>1152</v>
      </c>
      <c r="D58" t="s">
        <v>50</v>
      </c>
      <c r="E58" t="s">
        <v>26</v>
      </c>
      <c r="F58" t="s">
        <v>27</v>
      </c>
      <c r="G58" t="s">
        <v>28</v>
      </c>
      <c r="H58" t="s">
        <v>20</v>
      </c>
      <c r="I58" t="s">
        <v>29</v>
      </c>
      <c r="J58" t="s">
        <v>54</v>
      </c>
      <c r="K58" s="2">
        <v>45294.559999999998</v>
      </c>
      <c r="L58" s="4">
        <v>2</v>
      </c>
      <c r="M58" s="3">
        <v>0.21</v>
      </c>
      <c r="N58" s="2">
        <v>-226.47</v>
      </c>
    </row>
    <row r="59" spans="1:14" x14ac:dyDescent="0.3">
      <c r="A59" t="s">
        <v>1588</v>
      </c>
      <c r="B59" s="1">
        <v>44939</v>
      </c>
      <c r="C59" t="s">
        <v>293</v>
      </c>
      <c r="D59" t="s">
        <v>85</v>
      </c>
      <c r="E59" t="s">
        <v>26</v>
      </c>
      <c r="F59" t="s">
        <v>18</v>
      </c>
      <c r="G59" t="s">
        <v>19</v>
      </c>
      <c r="H59" t="s">
        <v>20</v>
      </c>
      <c r="I59" t="s">
        <v>29</v>
      </c>
      <c r="J59" t="s">
        <v>22</v>
      </c>
      <c r="K59" s="2">
        <v>28524.53</v>
      </c>
      <c r="L59" s="4">
        <v>10</v>
      </c>
      <c r="M59" s="3">
        <v>0.26</v>
      </c>
      <c r="N59" s="2">
        <v>-855.74</v>
      </c>
    </row>
    <row r="60" spans="1:14" x14ac:dyDescent="0.3">
      <c r="A60" t="s">
        <v>2094</v>
      </c>
      <c r="B60" s="1">
        <v>44939</v>
      </c>
      <c r="C60" t="s">
        <v>1743</v>
      </c>
      <c r="D60" t="s">
        <v>61</v>
      </c>
      <c r="E60" t="s">
        <v>17</v>
      </c>
      <c r="F60" t="s">
        <v>27</v>
      </c>
      <c r="G60" t="s">
        <v>28</v>
      </c>
      <c r="H60" t="s">
        <v>20</v>
      </c>
      <c r="I60" t="s">
        <v>21</v>
      </c>
      <c r="J60" t="s">
        <v>30</v>
      </c>
      <c r="K60" s="2">
        <v>39046.660000000003</v>
      </c>
      <c r="L60" s="4">
        <v>7</v>
      </c>
      <c r="M60" s="3">
        <v>0.12</v>
      </c>
      <c r="N60" s="2">
        <v>1561.87</v>
      </c>
    </row>
    <row r="61" spans="1:14" x14ac:dyDescent="0.3">
      <c r="A61" t="s">
        <v>1812</v>
      </c>
      <c r="B61" s="1">
        <v>44939</v>
      </c>
      <c r="C61" t="s">
        <v>616</v>
      </c>
      <c r="D61" t="s">
        <v>16</v>
      </c>
      <c r="E61" t="s">
        <v>26</v>
      </c>
      <c r="F61" t="s">
        <v>46</v>
      </c>
      <c r="G61" t="s">
        <v>46</v>
      </c>
      <c r="H61" t="s">
        <v>47</v>
      </c>
      <c r="I61" t="s">
        <v>29</v>
      </c>
      <c r="J61" t="s">
        <v>22</v>
      </c>
      <c r="K61" s="2">
        <v>39461.39</v>
      </c>
      <c r="L61" s="4">
        <v>4</v>
      </c>
      <c r="M61" s="3">
        <v>0.05</v>
      </c>
      <c r="N61" s="2">
        <v>2959.6</v>
      </c>
    </row>
    <row r="62" spans="1:14" x14ac:dyDescent="0.3">
      <c r="A62" t="s">
        <v>1095</v>
      </c>
      <c r="B62" s="1">
        <v>44939</v>
      </c>
      <c r="C62" t="s">
        <v>904</v>
      </c>
      <c r="D62" t="s">
        <v>61</v>
      </c>
      <c r="E62" t="s">
        <v>17</v>
      </c>
      <c r="F62" t="s">
        <v>46</v>
      </c>
      <c r="G62" t="s">
        <v>46</v>
      </c>
      <c r="H62" t="s">
        <v>47</v>
      </c>
      <c r="I62" t="s">
        <v>29</v>
      </c>
      <c r="J62" t="s">
        <v>54</v>
      </c>
      <c r="K62" s="2">
        <v>4369.1899999999996</v>
      </c>
      <c r="L62" s="4">
        <v>5</v>
      </c>
      <c r="M62" s="3">
        <v>0.11</v>
      </c>
      <c r="N62" s="2">
        <v>196.61</v>
      </c>
    </row>
    <row r="63" spans="1:14" x14ac:dyDescent="0.3">
      <c r="A63" t="s">
        <v>636</v>
      </c>
      <c r="B63" s="1">
        <v>44940</v>
      </c>
      <c r="C63" t="s">
        <v>262</v>
      </c>
      <c r="D63" t="s">
        <v>57</v>
      </c>
      <c r="E63" t="s">
        <v>26</v>
      </c>
      <c r="F63" t="s">
        <v>46</v>
      </c>
      <c r="G63" t="s">
        <v>46</v>
      </c>
      <c r="H63" t="s">
        <v>47</v>
      </c>
      <c r="I63" t="s">
        <v>43</v>
      </c>
      <c r="J63" t="s">
        <v>54</v>
      </c>
      <c r="K63" s="2">
        <v>1917.23</v>
      </c>
      <c r="L63" s="4">
        <v>9</v>
      </c>
      <c r="M63" s="3">
        <v>0.23</v>
      </c>
      <c r="N63" s="2">
        <v>-28.76</v>
      </c>
    </row>
    <row r="64" spans="1:14" x14ac:dyDescent="0.3">
      <c r="A64" t="s">
        <v>649</v>
      </c>
      <c r="B64" s="1">
        <v>44940</v>
      </c>
      <c r="C64" t="s">
        <v>650</v>
      </c>
      <c r="D64" t="s">
        <v>50</v>
      </c>
      <c r="E64" t="s">
        <v>26</v>
      </c>
      <c r="F64" t="s">
        <v>18</v>
      </c>
      <c r="G64" t="s">
        <v>19</v>
      </c>
      <c r="H64" t="s">
        <v>20</v>
      </c>
      <c r="I64" t="s">
        <v>21</v>
      </c>
      <c r="J64" t="s">
        <v>58</v>
      </c>
      <c r="K64" s="2">
        <v>43111.01</v>
      </c>
      <c r="L64" s="4">
        <v>9</v>
      </c>
      <c r="M64" s="3">
        <v>0.12</v>
      </c>
      <c r="N64" s="2">
        <v>1724.44</v>
      </c>
    </row>
    <row r="65" spans="1:14" x14ac:dyDescent="0.3">
      <c r="A65" t="s">
        <v>1830</v>
      </c>
      <c r="B65" s="1">
        <v>44940</v>
      </c>
      <c r="C65" t="s">
        <v>1831</v>
      </c>
      <c r="D65" t="s">
        <v>57</v>
      </c>
      <c r="E65" t="s">
        <v>26</v>
      </c>
      <c r="F65" t="s">
        <v>27</v>
      </c>
      <c r="G65" t="s">
        <v>28</v>
      </c>
      <c r="H65" t="s">
        <v>20</v>
      </c>
      <c r="I65" t="s">
        <v>29</v>
      </c>
      <c r="J65" t="s">
        <v>58</v>
      </c>
      <c r="K65" s="2">
        <v>23067.29</v>
      </c>
      <c r="L65" s="4">
        <v>6</v>
      </c>
      <c r="M65" s="3">
        <v>0.03</v>
      </c>
      <c r="N65" s="2">
        <v>1960.72</v>
      </c>
    </row>
    <row r="66" spans="1:14" x14ac:dyDescent="0.3">
      <c r="A66" t="s">
        <v>1922</v>
      </c>
      <c r="B66" s="1">
        <v>44940</v>
      </c>
      <c r="C66" t="s">
        <v>1923</v>
      </c>
      <c r="D66" t="s">
        <v>61</v>
      </c>
      <c r="E66" t="s">
        <v>26</v>
      </c>
      <c r="F66" t="s">
        <v>79</v>
      </c>
      <c r="G66" t="s">
        <v>80</v>
      </c>
      <c r="H66" t="s">
        <v>47</v>
      </c>
      <c r="I66" t="s">
        <v>43</v>
      </c>
      <c r="J66" t="s">
        <v>30</v>
      </c>
      <c r="K66" s="2">
        <v>35863.379999999997</v>
      </c>
      <c r="L66" s="4">
        <v>4</v>
      </c>
      <c r="M66" s="3">
        <v>0.19</v>
      </c>
      <c r="N66" s="2">
        <v>179.32</v>
      </c>
    </row>
    <row r="67" spans="1:14" x14ac:dyDescent="0.3">
      <c r="A67" t="s">
        <v>1560</v>
      </c>
      <c r="B67" s="1">
        <v>44940</v>
      </c>
      <c r="C67" t="s">
        <v>1561</v>
      </c>
      <c r="D67" t="s">
        <v>16</v>
      </c>
      <c r="E67" t="s">
        <v>17</v>
      </c>
      <c r="F67" t="s">
        <v>46</v>
      </c>
      <c r="G67" t="s">
        <v>46</v>
      </c>
      <c r="H67" t="s">
        <v>47</v>
      </c>
      <c r="I67" t="s">
        <v>21</v>
      </c>
      <c r="J67" t="s">
        <v>106</v>
      </c>
      <c r="K67" s="2">
        <v>28738.19</v>
      </c>
      <c r="L67" s="4">
        <v>1</v>
      </c>
      <c r="M67" s="3">
        <v>0.15</v>
      </c>
      <c r="N67" s="2">
        <v>718.45</v>
      </c>
    </row>
    <row r="68" spans="1:14" x14ac:dyDescent="0.3">
      <c r="A68" t="s">
        <v>632</v>
      </c>
      <c r="B68" s="1">
        <v>44941</v>
      </c>
      <c r="C68" t="s">
        <v>633</v>
      </c>
      <c r="D68" t="s">
        <v>33</v>
      </c>
      <c r="E68" t="s">
        <v>51</v>
      </c>
      <c r="F68" t="s">
        <v>40</v>
      </c>
      <c r="G68" t="s">
        <v>41</v>
      </c>
      <c r="H68" t="s">
        <v>42</v>
      </c>
      <c r="I68" t="s">
        <v>29</v>
      </c>
      <c r="J68" t="s">
        <v>58</v>
      </c>
      <c r="K68" s="2">
        <v>18682.990000000002</v>
      </c>
      <c r="L68" s="4">
        <v>8</v>
      </c>
      <c r="M68" s="3">
        <v>0.26</v>
      </c>
      <c r="N68" s="2">
        <v>-560.49</v>
      </c>
    </row>
    <row r="69" spans="1:14" x14ac:dyDescent="0.3">
      <c r="A69" t="s">
        <v>696</v>
      </c>
      <c r="B69" s="1">
        <v>44941</v>
      </c>
      <c r="C69" t="s">
        <v>697</v>
      </c>
      <c r="D69" t="s">
        <v>50</v>
      </c>
      <c r="E69" t="s">
        <v>26</v>
      </c>
      <c r="F69" t="s">
        <v>27</v>
      </c>
      <c r="G69" t="s">
        <v>28</v>
      </c>
      <c r="H69" t="s">
        <v>20</v>
      </c>
      <c r="I69" t="s">
        <v>29</v>
      </c>
      <c r="J69" t="s">
        <v>106</v>
      </c>
      <c r="K69" s="2">
        <v>32912.33</v>
      </c>
      <c r="L69" s="4">
        <v>6</v>
      </c>
      <c r="M69" s="3">
        <v>0.16</v>
      </c>
      <c r="N69" s="2">
        <v>658.25</v>
      </c>
    </row>
    <row r="70" spans="1:14" x14ac:dyDescent="0.3">
      <c r="A70" t="s">
        <v>2116</v>
      </c>
      <c r="B70" s="1">
        <v>44941</v>
      </c>
      <c r="C70" t="s">
        <v>2071</v>
      </c>
      <c r="D70" t="s">
        <v>61</v>
      </c>
      <c r="E70" t="s">
        <v>26</v>
      </c>
      <c r="F70" t="s">
        <v>46</v>
      </c>
      <c r="G70" t="s">
        <v>46</v>
      </c>
      <c r="H70" t="s">
        <v>47</v>
      </c>
      <c r="I70" t="s">
        <v>43</v>
      </c>
      <c r="J70" t="s">
        <v>37</v>
      </c>
      <c r="K70" s="2">
        <v>22570.71</v>
      </c>
      <c r="L70" s="4">
        <v>7</v>
      </c>
      <c r="M70" s="3">
        <v>0.05</v>
      </c>
      <c r="N70" s="2">
        <v>1692.8</v>
      </c>
    </row>
    <row r="71" spans="1:14" x14ac:dyDescent="0.3">
      <c r="A71" t="s">
        <v>1757</v>
      </c>
      <c r="B71" s="1">
        <v>44941</v>
      </c>
      <c r="C71" t="s">
        <v>116</v>
      </c>
      <c r="D71" t="s">
        <v>25</v>
      </c>
      <c r="E71" t="s">
        <v>17</v>
      </c>
      <c r="F71" t="s">
        <v>18</v>
      </c>
      <c r="G71" t="s">
        <v>19</v>
      </c>
      <c r="H71" t="s">
        <v>20</v>
      </c>
      <c r="I71" t="s">
        <v>21</v>
      </c>
      <c r="J71" t="s">
        <v>22</v>
      </c>
      <c r="K71" s="2">
        <v>49774.16</v>
      </c>
      <c r="L71" s="4">
        <v>1</v>
      </c>
      <c r="M71" s="3">
        <v>0.12</v>
      </c>
      <c r="N71" s="2">
        <v>1990.97</v>
      </c>
    </row>
    <row r="72" spans="1:14" x14ac:dyDescent="0.3">
      <c r="A72" t="s">
        <v>639</v>
      </c>
      <c r="B72" s="1">
        <v>44942</v>
      </c>
      <c r="C72" t="s">
        <v>186</v>
      </c>
      <c r="D72" t="s">
        <v>61</v>
      </c>
      <c r="E72" t="s">
        <v>51</v>
      </c>
      <c r="F72" t="s">
        <v>79</v>
      </c>
      <c r="G72" t="s">
        <v>80</v>
      </c>
      <c r="H72" t="s">
        <v>47</v>
      </c>
      <c r="I72" t="s">
        <v>43</v>
      </c>
      <c r="J72" t="s">
        <v>37</v>
      </c>
      <c r="K72" s="2">
        <v>15444.05</v>
      </c>
      <c r="L72" s="4">
        <v>5</v>
      </c>
      <c r="M72" s="3">
        <v>0.26</v>
      </c>
      <c r="N72" s="2">
        <v>-463.32</v>
      </c>
    </row>
    <row r="73" spans="1:14" x14ac:dyDescent="0.3">
      <c r="A73" t="s">
        <v>662</v>
      </c>
      <c r="B73" s="1">
        <v>44942</v>
      </c>
      <c r="C73" t="s">
        <v>663</v>
      </c>
      <c r="D73" t="s">
        <v>50</v>
      </c>
      <c r="E73" t="s">
        <v>17</v>
      </c>
      <c r="F73" t="s">
        <v>40</v>
      </c>
      <c r="G73" t="s">
        <v>41</v>
      </c>
      <c r="H73" t="s">
        <v>42</v>
      </c>
      <c r="I73" t="s">
        <v>43</v>
      </c>
      <c r="J73" t="s">
        <v>30</v>
      </c>
      <c r="K73" s="2">
        <v>18660.23</v>
      </c>
      <c r="L73" s="4">
        <v>7</v>
      </c>
      <c r="M73" s="3">
        <v>0.26</v>
      </c>
      <c r="N73" s="2">
        <v>-559.80999999999995</v>
      </c>
    </row>
    <row r="74" spans="1:14" x14ac:dyDescent="0.3">
      <c r="A74" t="s">
        <v>1642</v>
      </c>
      <c r="B74" s="1">
        <v>44942</v>
      </c>
      <c r="C74" t="s">
        <v>900</v>
      </c>
      <c r="D74" t="s">
        <v>50</v>
      </c>
      <c r="E74" t="s">
        <v>26</v>
      </c>
      <c r="F74" t="s">
        <v>18</v>
      </c>
      <c r="G74" t="s">
        <v>19</v>
      </c>
      <c r="H74" t="s">
        <v>20</v>
      </c>
      <c r="I74" t="s">
        <v>43</v>
      </c>
      <c r="J74" t="s">
        <v>106</v>
      </c>
      <c r="K74" s="2">
        <v>5487.64</v>
      </c>
      <c r="L74" s="4">
        <v>2</v>
      </c>
      <c r="M74" s="3">
        <v>7.0000000000000007E-2</v>
      </c>
      <c r="N74" s="2">
        <v>356.7</v>
      </c>
    </row>
    <row r="75" spans="1:14" x14ac:dyDescent="0.3">
      <c r="A75" t="s">
        <v>2068</v>
      </c>
      <c r="B75" s="1">
        <v>44942</v>
      </c>
      <c r="C75" t="s">
        <v>645</v>
      </c>
      <c r="D75" t="s">
        <v>25</v>
      </c>
      <c r="E75" t="s">
        <v>26</v>
      </c>
      <c r="F75" t="s">
        <v>18</v>
      </c>
      <c r="G75" t="s">
        <v>19</v>
      </c>
      <c r="H75" t="s">
        <v>20</v>
      </c>
      <c r="I75" t="s">
        <v>21</v>
      </c>
      <c r="J75" t="s">
        <v>54</v>
      </c>
      <c r="K75" s="2">
        <v>17989.03</v>
      </c>
      <c r="L75" s="4">
        <v>3</v>
      </c>
      <c r="M75" s="3">
        <v>0.2</v>
      </c>
      <c r="N75" s="2">
        <v>0</v>
      </c>
    </row>
    <row r="76" spans="1:14" x14ac:dyDescent="0.3">
      <c r="A76" t="s">
        <v>2029</v>
      </c>
      <c r="B76" s="1">
        <v>44942</v>
      </c>
      <c r="C76" t="s">
        <v>264</v>
      </c>
      <c r="D76" t="s">
        <v>61</v>
      </c>
      <c r="E76" t="s">
        <v>51</v>
      </c>
      <c r="F76" t="s">
        <v>18</v>
      </c>
      <c r="G76" t="s">
        <v>19</v>
      </c>
      <c r="H76" t="s">
        <v>20</v>
      </c>
      <c r="I76" t="s">
        <v>29</v>
      </c>
      <c r="J76" t="s">
        <v>22</v>
      </c>
      <c r="K76" s="2">
        <v>23032.05</v>
      </c>
      <c r="L76" s="4">
        <v>6</v>
      </c>
      <c r="M76" s="3">
        <v>0.2</v>
      </c>
      <c r="N76" s="2">
        <v>0</v>
      </c>
    </row>
    <row r="77" spans="1:14" x14ac:dyDescent="0.3">
      <c r="A77" t="s">
        <v>129</v>
      </c>
      <c r="B77" s="1">
        <v>44942</v>
      </c>
      <c r="C77" t="s">
        <v>130</v>
      </c>
      <c r="D77" t="s">
        <v>57</v>
      </c>
      <c r="E77" t="s">
        <v>51</v>
      </c>
      <c r="F77" t="s">
        <v>27</v>
      </c>
      <c r="G77" t="s">
        <v>28</v>
      </c>
      <c r="H77" t="s">
        <v>20</v>
      </c>
      <c r="I77" t="s">
        <v>29</v>
      </c>
      <c r="J77" t="s">
        <v>58</v>
      </c>
      <c r="K77" s="2">
        <v>8172.18</v>
      </c>
      <c r="L77" s="4">
        <v>8</v>
      </c>
      <c r="M77" s="3">
        <v>0.1</v>
      </c>
      <c r="N77" s="2">
        <v>408.61</v>
      </c>
    </row>
    <row r="78" spans="1:14" x14ac:dyDescent="0.3">
      <c r="A78" t="s">
        <v>336</v>
      </c>
      <c r="B78" s="1">
        <v>44943</v>
      </c>
      <c r="C78" t="s">
        <v>337</v>
      </c>
      <c r="D78" t="s">
        <v>33</v>
      </c>
      <c r="E78" t="s">
        <v>26</v>
      </c>
      <c r="F78" t="s">
        <v>27</v>
      </c>
      <c r="G78" t="s">
        <v>28</v>
      </c>
      <c r="H78" t="s">
        <v>20</v>
      </c>
      <c r="I78" t="s">
        <v>43</v>
      </c>
      <c r="J78" t="s">
        <v>54</v>
      </c>
      <c r="K78" s="2">
        <v>35421.86</v>
      </c>
      <c r="L78" s="4">
        <v>3</v>
      </c>
      <c r="M78" s="3">
        <v>0.27</v>
      </c>
      <c r="N78" s="2">
        <v>-1239.77</v>
      </c>
    </row>
    <row r="79" spans="1:14" x14ac:dyDescent="0.3">
      <c r="A79" t="s">
        <v>603</v>
      </c>
      <c r="B79" s="1">
        <v>44943</v>
      </c>
      <c r="C79" t="s">
        <v>604</v>
      </c>
      <c r="D79" t="s">
        <v>16</v>
      </c>
      <c r="E79" t="s">
        <v>51</v>
      </c>
      <c r="F79" t="s">
        <v>79</v>
      </c>
      <c r="G79" t="s">
        <v>80</v>
      </c>
      <c r="H79" t="s">
        <v>47</v>
      </c>
      <c r="I79" t="s">
        <v>21</v>
      </c>
      <c r="J79" t="s">
        <v>22</v>
      </c>
      <c r="K79" s="2">
        <v>41204.82</v>
      </c>
      <c r="L79" s="4">
        <v>7</v>
      </c>
      <c r="M79" s="3">
        <v>0.27</v>
      </c>
      <c r="N79" s="2">
        <v>-1442.17</v>
      </c>
    </row>
    <row r="80" spans="1:14" x14ac:dyDescent="0.3">
      <c r="A80" t="s">
        <v>749</v>
      </c>
      <c r="B80" s="1">
        <v>44943</v>
      </c>
      <c r="C80" t="s">
        <v>750</v>
      </c>
      <c r="D80" t="s">
        <v>25</v>
      </c>
      <c r="E80" t="s">
        <v>51</v>
      </c>
      <c r="F80" t="s">
        <v>34</v>
      </c>
      <c r="G80" t="s">
        <v>35</v>
      </c>
      <c r="H80" t="s">
        <v>36</v>
      </c>
      <c r="I80" t="s">
        <v>43</v>
      </c>
      <c r="J80" t="s">
        <v>58</v>
      </c>
      <c r="K80" s="2">
        <v>36237.839999999997</v>
      </c>
      <c r="L80" s="4">
        <v>10</v>
      </c>
      <c r="M80" s="3">
        <v>0.27</v>
      </c>
      <c r="N80" s="2">
        <v>-1268.32</v>
      </c>
    </row>
    <row r="81" spans="1:14" x14ac:dyDescent="0.3">
      <c r="A81" t="s">
        <v>1399</v>
      </c>
      <c r="B81" s="1">
        <v>44943</v>
      </c>
      <c r="C81" t="s">
        <v>680</v>
      </c>
      <c r="D81" t="s">
        <v>50</v>
      </c>
      <c r="E81" t="s">
        <v>26</v>
      </c>
      <c r="F81" t="s">
        <v>46</v>
      </c>
      <c r="G81" t="s">
        <v>46</v>
      </c>
      <c r="H81" t="s">
        <v>47</v>
      </c>
      <c r="I81" t="s">
        <v>29</v>
      </c>
      <c r="J81" t="s">
        <v>37</v>
      </c>
      <c r="K81" s="2">
        <v>36441.919999999998</v>
      </c>
      <c r="L81" s="4">
        <v>10</v>
      </c>
      <c r="M81" s="3">
        <v>0.15</v>
      </c>
      <c r="N81" s="2">
        <v>911.05</v>
      </c>
    </row>
    <row r="82" spans="1:14" x14ac:dyDescent="0.3">
      <c r="A82" t="s">
        <v>2151</v>
      </c>
      <c r="B82" s="1">
        <v>44943</v>
      </c>
      <c r="C82" t="s">
        <v>620</v>
      </c>
      <c r="D82" t="s">
        <v>33</v>
      </c>
      <c r="E82" t="s">
        <v>51</v>
      </c>
      <c r="F82" t="s">
        <v>18</v>
      </c>
      <c r="G82" t="s">
        <v>19</v>
      </c>
      <c r="H82" t="s">
        <v>20</v>
      </c>
      <c r="I82" t="s">
        <v>29</v>
      </c>
      <c r="J82" t="s">
        <v>106</v>
      </c>
      <c r="K82" s="2">
        <v>12462.28</v>
      </c>
      <c r="L82" s="4">
        <v>2</v>
      </c>
      <c r="M82" s="3">
        <v>7.0000000000000007E-2</v>
      </c>
      <c r="N82" s="2">
        <v>810.05</v>
      </c>
    </row>
    <row r="83" spans="1:14" x14ac:dyDescent="0.3">
      <c r="A83" t="s">
        <v>2239</v>
      </c>
      <c r="B83" s="1">
        <v>44943</v>
      </c>
      <c r="C83" t="s">
        <v>466</v>
      </c>
      <c r="D83" t="s">
        <v>25</v>
      </c>
      <c r="E83" t="s">
        <v>51</v>
      </c>
      <c r="F83" t="s">
        <v>18</v>
      </c>
      <c r="G83" t="s">
        <v>19</v>
      </c>
      <c r="H83" t="s">
        <v>20</v>
      </c>
      <c r="I83" t="s">
        <v>21</v>
      </c>
      <c r="J83" t="s">
        <v>54</v>
      </c>
      <c r="K83" s="2">
        <v>15241.55</v>
      </c>
      <c r="L83" s="4">
        <v>9</v>
      </c>
      <c r="M83" s="3">
        <v>0.06</v>
      </c>
      <c r="N83" s="2">
        <v>1066.9100000000001</v>
      </c>
    </row>
    <row r="84" spans="1:14" x14ac:dyDescent="0.3">
      <c r="A84" t="s">
        <v>2107</v>
      </c>
      <c r="B84" s="1">
        <v>44943</v>
      </c>
      <c r="C84" t="s">
        <v>794</v>
      </c>
      <c r="D84" t="s">
        <v>25</v>
      </c>
      <c r="E84" t="s">
        <v>26</v>
      </c>
      <c r="F84" t="s">
        <v>27</v>
      </c>
      <c r="G84" t="s">
        <v>28</v>
      </c>
      <c r="H84" t="s">
        <v>20</v>
      </c>
      <c r="I84" t="s">
        <v>43</v>
      </c>
      <c r="J84" t="s">
        <v>37</v>
      </c>
      <c r="K84" s="2">
        <v>7636.88</v>
      </c>
      <c r="L84" s="4">
        <v>2</v>
      </c>
      <c r="M84" s="3">
        <v>0.28999999999999998</v>
      </c>
      <c r="N84" s="2">
        <v>-343.66</v>
      </c>
    </row>
    <row r="85" spans="1:14" x14ac:dyDescent="0.3">
      <c r="A85" t="s">
        <v>2184</v>
      </c>
      <c r="B85" s="1">
        <v>44945</v>
      </c>
      <c r="C85" t="s">
        <v>1931</v>
      </c>
      <c r="D85" t="s">
        <v>57</v>
      </c>
      <c r="E85" t="s">
        <v>51</v>
      </c>
      <c r="F85" t="s">
        <v>46</v>
      </c>
      <c r="G85" t="s">
        <v>46</v>
      </c>
      <c r="H85" t="s">
        <v>47</v>
      </c>
      <c r="I85" t="s">
        <v>29</v>
      </c>
      <c r="J85" t="s">
        <v>58</v>
      </c>
      <c r="K85" s="2">
        <v>8155.49</v>
      </c>
      <c r="L85" s="4">
        <v>3</v>
      </c>
      <c r="M85" s="3">
        <v>0.04</v>
      </c>
      <c r="N85" s="2">
        <v>652.44000000000005</v>
      </c>
    </row>
    <row r="86" spans="1:14" x14ac:dyDescent="0.3">
      <c r="A86" t="s">
        <v>83</v>
      </c>
      <c r="B86" s="1">
        <v>44946</v>
      </c>
      <c r="C86" t="s">
        <v>84</v>
      </c>
      <c r="D86" t="s">
        <v>85</v>
      </c>
      <c r="E86" t="s">
        <v>26</v>
      </c>
      <c r="F86" t="s">
        <v>79</v>
      </c>
      <c r="G86" t="s">
        <v>80</v>
      </c>
      <c r="H86" t="s">
        <v>47</v>
      </c>
      <c r="I86" t="s">
        <v>43</v>
      </c>
      <c r="J86" t="s">
        <v>30</v>
      </c>
      <c r="K86" s="2">
        <v>15259.38</v>
      </c>
      <c r="L86" s="4">
        <v>8</v>
      </c>
      <c r="M86" s="3">
        <v>0.13</v>
      </c>
      <c r="N86" s="2">
        <v>534.08000000000004</v>
      </c>
    </row>
    <row r="87" spans="1:14" x14ac:dyDescent="0.3">
      <c r="A87" t="s">
        <v>745</v>
      </c>
      <c r="B87" s="1">
        <v>44946</v>
      </c>
      <c r="C87" t="s">
        <v>525</v>
      </c>
      <c r="D87" t="s">
        <v>25</v>
      </c>
      <c r="E87" t="s">
        <v>26</v>
      </c>
      <c r="F87" t="s">
        <v>27</v>
      </c>
      <c r="G87" t="s">
        <v>28</v>
      </c>
      <c r="H87" t="s">
        <v>20</v>
      </c>
      <c r="I87" t="s">
        <v>21</v>
      </c>
      <c r="J87" t="s">
        <v>106</v>
      </c>
      <c r="K87" s="2">
        <v>2621.31</v>
      </c>
      <c r="L87" s="4">
        <v>10</v>
      </c>
      <c r="M87" s="3">
        <v>0.12</v>
      </c>
      <c r="N87" s="2">
        <v>104.85</v>
      </c>
    </row>
    <row r="88" spans="1:14" x14ac:dyDescent="0.3">
      <c r="A88" t="s">
        <v>1649</v>
      </c>
      <c r="B88" s="1">
        <v>44946</v>
      </c>
      <c r="C88" t="s">
        <v>1650</v>
      </c>
      <c r="D88" t="s">
        <v>16</v>
      </c>
      <c r="E88" t="s">
        <v>26</v>
      </c>
      <c r="F88" t="s">
        <v>40</v>
      </c>
      <c r="G88" t="s">
        <v>41</v>
      </c>
      <c r="H88" t="s">
        <v>42</v>
      </c>
      <c r="I88" t="s">
        <v>21</v>
      </c>
      <c r="J88" t="s">
        <v>22</v>
      </c>
      <c r="K88" s="2">
        <v>32901.839999999997</v>
      </c>
      <c r="L88" s="4">
        <v>9</v>
      </c>
      <c r="M88" s="3">
        <v>0.11</v>
      </c>
      <c r="N88" s="2">
        <v>1480.58</v>
      </c>
    </row>
    <row r="89" spans="1:14" x14ac:dyDescent="0.3">
      <c r="A89" t="s">
        <v>890</v>
      </c>
      <c r="B89" s="1">
        <v>44946</v>
      </c>
      <c r="C89" t="s">
        <v>891</v>
      </c>
      <c r="D89" t="s">
        <v>57</v>
      </c>
      <c r="E89" t="s">
        <v>17</v>
      </c>
      <c r="F89" t="s">
        <v>40</v>
      </c>
      <c r="G89" t="s">
        <v>41</v>
      </c>
      <c r="H89" t="s">
        <v>42</v>
      </c>
      <c r="I89" t="s">
        <v>21</v>
      </c>
      <c r="J89" t="s">
        <v>37</v>
      </c>
      <c r="K89" s="2">
        <v>48245.07</v>
      </c>
      <c r="L89" s="4">
        <v>3</v>
      </c>
      <c r="M89" s="3">
        <v>0.19</v>
      </c>
      <c r="N89" s="2">
        <v>241.23</v>
      </c>
    </row>
    <row r="90" spans="1:14" x14ac:dyDescent="0.3">
      <c r="A90" t="s">
        <v>2018</v>
      </c>
      <c r="B90" s="1">
        <v>44946</v>
      </c>
      <c r="C90" t="s">
        <v>2019</v>
      </c>
      <c r="D90" t="s">
        <v>25</v>
      </c>
      <c r="E90" t="s">
        <v>51</v>
      </c>
      <c r="F90" t="s">
        <v>46</v>
      </c>
      <c r="G90" t="s">
        <v>46</v>
      </c>
      <c r="H90" t="s">
        <v>47</v>
      </c>
      <c r="I90" t="s">
        <v>43</v>
      </c>
      <c r="J90" t="s">
        <v>58</v>
      </c>
      <c r="K90" s="2">
        <v>44335.43</v>
      </c>
      <c r="L90" s="4">
        <v>9</v>
      </c>
      <c r="M90" s="3">
        <v>0.15</v>
      </c>
      <c r="N90" s="2">
        <v>1108.3900000000001</v>
      </c>
    </row>
    <row r="91" spans="1:14" x14ac:dyDescent="0.3">
      <c r="A91" t="s">
        <v>1971</v>
      </c>
      <c r="B91" s="1">
        <v>44947</v>
      </c>
      <c r="C91" t="s">
        <v>1079</v>
      </c>
      <c r="D91" t="s">
        <v>61</v>
      </c>
      <c r="E91" t="s">
        <v>51</v>
      </c>
      <c r="F91" t="s">
        <v>79</v>
      </c>
      <c r="G91" t="s">
        <v>80</v>
      </c>
      <c r="H91" t="s">
        <v>47</v>
      </c>
      <c r="I91" t="s">
        <v>43</v>
      </c>
      <c r="J91" t="s">
        <v>37</v>
      </c>
      <c r="K91" s="2">
        <v>13510.14</v>
      </c>
      <c r="L91" s="4">
        <v>1</v>
      </c>
      <c r="M91" s="3">
        <v>0.23</v>
      </c>
      <c r="N91" s="2">
        <v>-202.65</v>
      </c>
    </row>
    <row r="92" spans="1:14" x14ac:dyDescent="0.3">
      <c r="A92" t="s">
        <v>292</v>
      </c>
      <c r="B92" s="1">
        <v>44947</v>
      </c>
      <c r="C92" t="s">
        <v>293</v>
      </c>
      <c r="D92" t="s">
        <v>33</v>
      </c>
      <c r="E92" t="s">
        <v>26</v>
      </c>
      <c r="F92" t="s">
        <v>40</v>
      </c>
      <c r="G92" t="s">
        <v>41</v>
      </c>
      <c r="H92" t="s">
        <v>42</v>
      </c>
      <c r="I92" t="s">
        <v>21</v>
      </c>
      <c r="J92" t="s">
        <v>106</v>
      </c>
      <c r="K92" s="2">
        <v>19216.47</v>
      </c>
      <c r="L92" s="4">
        <v>9</v>
      </c>
      <c r="M92" s="3">
        <v>0.03</v>
      </c>
      <c r="N92" s="2">
        <v>1633.4</v>
      </c>
    </row>
    <row r="93" spans="1:14" x14ac:dyDescent="0.3">
      <c r="A93" t="s">
        <v>1025</v>
      </c>
      <c r="B93" s="1">
        <v>44948</v>
      </c>
      <c r="C93" t="s">
        <v>593</v>
      </c>
      <c r="D93" t="s">
        <v>57</v>
      </c>
      <c r="E93" t="s">
        <v>26</v>
      </c>
      <c r="F93" t="s">
        <v>34</v>
      </c>
      <c r="G93" t="s">
        <v>35</v>
      </c>
      <c r="H93" t="s">
        <v>36</v>
      </c>
      <c r="I93" t="s">
        <v>29</v>
      </c>
      <c r="J93" t="s">
        <v>22</v>
      </c>
      <c r="K93" s="2">
        <v>42943.28</v>
      </c>
      <c r="L93" s="4">
        <v>5</v>
      </c>
      <c r="M93" s="3">
        <v>0.08</v>
      </c>
      <c r="N93" s="2">
        <v>2576.6</v>
      </c>
    </row>
    <row r="94" spans="1:14" x14ac:dyDescent="0.3">
      <c r="A94" t="s">
        <v>1655</v>
      </c>
      <c r="B94" s="1">
        <v>44948</v>
      </c>
      <c r="C94" t="s">
        <v>401</v>
      </c>
      <c r="D94" t="s">
        <v>85</v>
      </c>
      <c r="E94" t="s">
        <v>17</v>
      </c>
      <c r="F94" t="s">
        <v>27</v>
      </c>
      <c r="G94" t="s">
        <v>28</v>
      </c>
      <c r="H94" t="s">
        <v>20</v>
      </c>
      <c r="I94" t="s">
        <v>43</v>
      </c>
      <c r="J94" t="s">
        <v>64</v>
      </c>
      <c r="K94" s="2">
        <v>20088.740000000002</v>
      </c>
      <c r="L94" s="4">
        <v>5</v>
      </c>
      <c r="M94" s="3">
        <v>0.13</v>
      </c>
      <c r="N94" s="2">
        <v>703.11</v>
      </c>
    </row>
    <row r="95" spans="1:14" x14ac:dyDescent="0.3">
      <c r="A95" t="s">
        <v>1381</v>
      </c>
      <c r="B95" s="1">
        <v>44948</v>
      </c>
      <c r="C95" t="s">
        <v>1382</v>
      </c>
      <c r="D95" t="s">
        <v>61</v>
      </c>
      <c r="E95" t="s">
        <v>26</v>
      </c>
      <c r="F95" t="s">
        <v>18</v>
      </c>
      <c r="G95" t="s">
        <v>19</v>
      </c>
      <c r="H95" t="s">
        <v>20</v>
      </c>
      <c r="I95" t="s">
        <v>43</v>
      </c>
      <c r="J95" t="s">
        <v>64</v>
      </c>
      <c r="K95" s="2">
        <v>13723.11</v>
      </c>
      <c r="L95" s="4">
        <v>1</v>
      </c>
      <c r="M95" s="3">
        <v>0.06</v>
      </c>
      <c r="N95" s="2">
        <v>960.62</v>
      </c>
    </row>
    <row r="96" spans="1:14" x14ac:dyDescent="0.3">
      <c r="A96" t="s">
        <v>175</v>
      </c>
      <c r="B96" s="1">
        <v>44948</v>
      </c>
      <c r="C96" t="s">
        <v>176</v>
      </c>
      <c r="D96" t="s">
        <v>50</v>
      </c>
      <c r="E96" t="s">
        <v>51</v>
      </c>
      <c r="F96" t="s">
        <v>27</v>
      </c>
      <c r="G96" t="s">
        <v>28</v>
      </c>
      <c r="H96" t="s">
        <v>20</v>
      </c>
      <c r="I96" t="s">
        <v>29</v>
      </c>
      <c r="J96" t="s">
        <v>64</v>
      </c>
      <c r="K96" s="2">
        <v>38540.959999999999</v>
      </c>
      <c r="L96" s="4">
        <v>10</v>
      </c>
      <c r="M96" s="3">
        <v>0.17</v>
      </c>
      <c r="N96" s="2">
        <v>578.11</v>
      </c>
    </row>
    <row r="97" spans="1:14" x14ac:dyDescent="0.3">
      <c r="A97" t="s">
        <v>1558</v>
      </c>
      <c r="B97" s="1">
        <v>44948</v>
      </c>
      <c r="C97" t="s">
        <v>1192</v>
      </c>
      <c r="D97" t="s">
        <v>33</v>
      </c>
      <c r="E97" t="s">
        <v>51</v>
      </c>
      <c r="F97" t="s">
        <v>27</v>
      </c>
      <c r="G97" t="s">
        <v>28</v>
      </c>
      <c r="H97" t="s">
        <v>20</v>
      </c>
      <c r="I97" t="s">
        <v>43</v>
      </c>
      <c r="J97" t="s">
        <v>106</v>
      </c>
      <c r="K97" s="2">
        <v>32599.09</v>
      </c>
      <c r="L97" s="4">
        <v>5</v>
      </c>
      <c r="M97" s="3">
        <v>0.28999999999999998</v>
      </c>
      <c r="N97" s="2">
        <v>-1466.96</v>
      </c>
    </row>
    <row r="98" spans="1:14" x14ac:dyDescent="0.3">
      <c r="A98" t="s">
        <v>944</v>
      </c>
      <c r="B98" s="1">
        <v>44949</v>
      </c>
      <c r="C98" t="s">
        <v>333</v>
      </c>
      <c r="D98" t="s">
        <v>25</v>
      </c>
      <c r="E98" t="s">
        <v>26</v>
      </c>
      <c r="F98" t="s">
        <v>46</v>
      </c>
      <c r="G98" t="s">
        <v>46</v>
      </c>
      <c r="H98" t="s">
        <v>47</v>
      </c>
      <c r="I98" t="s">
        <v>43</v>
      </c>
      <c r="J98" t="s">
        <v>37</v>
      </c>
      <c r="K98" s="2">
        <v>33106.39</v>
      </c>
      <c r="L98" s="4">
        <v>5</v>
      </c>
      <c r="M98" s="3">
        <v>0.1</v>
      </c>
      <c r="N98" s="2">
        <v>1655.32</v>
      </c>
    </row>
    <row r="99" spans="1:14" x14ac:dyDescent="0.3">
      <c r="A99" t="s">
        <v>1115</v>
      </c>
      <c r="B99" s="1">
        <v>44949</v>
      </c>
      <c r="C99" t="s">
        <v>1069</v>
      </c>
      <c r="D99" t="s">
        <v>61</v>
      </c>
      <c r="E99" t="s">
        <v>51</v>
      </c>
      <c r="F99" t="s">
        <v>40</v>
      </c>
      <c r="G99" t="s">
        <v>41</v>
      </c>
      <c r="H99" t="s">
        <v>42</v>
      </c>
      <c r="I99" t="s">
        <v>21</v>
      </c>
      <c r="J99" t="s">
        <v>37</v>
      </c>
      <c r="K99" s="2">
        <v>34531.5</v>
      </c>
      <c r="L99" s="4">
        <v>10</v>
      </c>
      <c r="M99" s="3">
        <v>0.11</v>
      </c>
      <c r="N99" s="2">
        <v>1553.92</v>
      </c>
    </row>
    <row r="100" spans="1:14" x14ac:dyDescent="0.3">
      <c r="A100" t="s">
        <v>1334</v>
      </c>
      <c r="B100" s="1">
        <v>44949</v>
      </c>
      <c r="C100" t="s">
        <v>1335</v>
      </c>
      <c r="D100" t="s">
        <v>85</v>
      </c>
      <c r="E100" t="s">
        <v>51</v>
      </c>
      <c r="F100" t="s">
        <v>79</v>
      </c>
      <c r="G100" t="s">
        <v>80</v>
      </c>
      <c r="H100" t="s">
        <v>47</v>
      </c>
      <c r="I100" t="s">
        <v>29</v>
      </c>
      <c r="J100" t="s">
        <v>106</v>
      </c>
      <c r="K100" s="2">
        <v>27662.880000000001</v>
      </c>
      <c r="L100" s="4">
        <v>4</v>
      </c>
      <c r="M100" s="3">
        <v>0.08</v>
      </c>
      <c r="N100" s="2">
        <v>1659.77</v>
      </c>
    </row>
    <row r="101" spans="1:14" x14ac:dyDescent="0.3">
      <c r="A101" t="s">
        <v>1987</v>
      </c>
      <c r="B101" s="1">
        <v>44949</v>
      </c>
      <c r="C101" t="s">
        <v>1988</v>
      </c>
      <c r="D101" t="s">
        <v>25</v>
      </c>
      <c r="E101" t="s">
        <v>26</v>
      </c>
      <c r="F101" t="s">
        <v>79</v>
      </c>
      <c r="G101" t="s">
        <v>80</v>
      </c>
      <c r="H101" t="s">
        <v>47</v>
      </c>
      <c r="I101" t="s">
        <v>29</v>
      </c>
      <c r="J101" t="s">
        <v>106</v>
      </c>
      <c r="K101" s="2">
        <v>47807.87</v>
      </c>
      <c r="L101" s="4">
        <v>3</v>
      </c>
      <c r="M101" s="3">
        <v>0.24</v>
      </c>
      <c r="N101" s="2">
        <v>-956.16</v>
      </c>
    </row>
    <row r="102" spans="1:14" x14ac:dyDescent="0.3">
      <c r="A102" t="s">
        <v>1600</v>
      </c>
      <c r="B102" s="1">
        <v>44949</v>
      </c>
      <c r="C102" t="s">
        <v>97</v>
      </c>
      <c r="D102" t="s">
        <v>57</v>
      </c>
      <c r="E102" t="s">
        <v>51</v>
      </c>
      <c r="F102" t="s">
        <v>34</v>
      </c>
      <c r="G102" t="s">
        <v>35</v>
      </c>
      <c r="H102" t="s">
        <v>36</v>
      </c>
      <c r="I102" t="s">
        <v>29</v>
      </c>
      <c r="J102" t="s">
        <v>37</v>
      </c>
      <c r="K102" s="2">
        <v>7360.66</v>
      </c>
      <c r="L102" s="4">
        <v>9</v>
      </c>
      <c r="M102" s="3">
        <v>0.27</v>
      </c>
      <c r="N102" s="2">
        <v>-257.62</v>
      </c>
    </row>
    <row r="103" spans="1:14" x14ac:dyDescent="0.3">
      <c r="A103" t="s">
        <v>277</v>
      </c>
      <c r="B103" s="1">
        <v>44949</v>
      </c>
      <c r="C103" t="s">
        <v>278</v>
      </c>
      <c r="D103" t="s">
        <v>16</v>
      </c>
      <c r="E103" t="s">
        <v>17</v>
      </c>
      <c r="F103" t="s">
        <v>79</v>
      </c>
      <c r="G103" t="s">
        <v>80</v>
      </c>
      <c r="H103" t="s">
        <v>47</v>
      </c>
      <c r="I103" t="s">
        <v>21</v>
      </c>
      <c r="J103" t="s">
        <v>58</v>
      </c>
      <c r="K103" s="2">
        <v>22713.27</v>
      </c>
      <c r="L103" s="4">
        <v>9</v>
      </c>
      <c r="M103" s="3">
        <v>0.06</v>
      </c>
      <c r="N103" s="2">
        <v>1589.93</v>
      </c>
    </row>
    <row r="104" spans="1:14" x14ac:dyDescent="0.3">
      <c r="A104" t="s">
        <v>1594</v>
      </c>
      <c r="B104" s="1">
        <v>44949</v>
      </c>
      <c r="C104" t="s">
        <v>439</v>
      </c>
      <c r="D104" t="s">
        <v>57</v>
      </c>
      <c r="E104" t="s">
        <v>51</v>
      </c>
      <c r="F104" t="s">
        <v>18</v>
      </c>
      <c r="G104" t="s">
        <v>19</v>
      </c>
      <c r="H104" t="s">
        <v>20</v>
      </c>
      <c r="I104" t="s">
        <v>29</v>
      </c>
      <c r="J104" t="s">
        <v>54</v>
      </c>
      <c r="K104" s="2">
        <v>44198.89</v>
      </c>
      <c r="L104" s="4">
        <v>3</v>
      </c>
      <c r="M104" s="3">
        <v>0.24</v>
      </c>
      <c r="N104" s="2">
        <v>-883.98</v>
      </c>
    </row>
    <row r="105" spans="1:14" x14ac:dyDescent="0.3">
      <c r="A105" t="s">
        <v>629</v>
      </c>
      <c r="B105" s="1">
        <v>44949</v>
      </c>
      <c r="C105" t="s">
        <v>198</v>
      </c>
      <c r="D105" t="s">
        <v>16</v>
      </c>
      <c r="E105" t="s">
        <v>26</v>
      </c>
      <c r="F105" t="s">
        <v>18</v>
      </c>
      <c r="G105" t="s">
        <v>19</v>
      </c>
      <c r="H105" t="s">
        <v>20</v>
      </c>
      <c r="I105" t="s">
        <v>43</v>
      </c>
      <c r="J105" t="s">
        <v>106</v>
      </c>
      <c r="K105" s="2">
        <v>34073.589999999997</v>
      </c>
      <c r="L105" s="4">
        <v>7</v>
      </c>
      <c r="M105" s="3">
        <v>0.13</v>
      </c>
      <c r="N105" s="2">
        <v>1192.58</v>
      </c>
    </row>
    <row r="106" spans="1:14" x14ac:dyDescent="0.3">
      <c r="A106" t="s">
        <v>211</v>
      </c>
      <c r="B106" s="1">
        <v>44950</v>
      </c>
      <c r="C106" t="s">
        <v>212</v>
      </c>
      <c r="D106" t="s">
        <v>57</v>
      </c>
      <c r="E106" t="s">
        <v>51</v>
      </c>
      <c r="F106" t="s">
        <v>79</v>
      </c>
      <c r="G106" t="s">
        <v>80</v>
      </c>
      <c r="H106" t="s">
        <v>47</v>
      </c>
      <c r="I106" t="s">
        <v>21</v>
      </c>
      <c r="J106" t="s">
        <v>106</v>
      </c>
      <c r="K106" s="2">
        <v>46230.78</v>
      </c>
      <c r="L106" s="4">
        <v>10</v>
      </c>
      <c r="M106" s="3">
        <v>0.23</v>
      </c>
      <c r="N106" s="2">
        <v>-693.46</v>
      </c>
    </row>
    <row r="107" spans="1:14" x14ac:dyDescent="0.3">
      <c r="A107" t="s">
        <v>687</v>
      </c>
      <c r="B107" s="1">
        <v>44950</v>
      </c>
      <c r="C107" t="s">
        <v>688</v>
      </c>
      <c r="D107" t="s">
        <v>33</v>
      </c>
      <c r="E107" t="s">
        <v>17</v>
      </c>
      <c r="F107" t="s">
        <v>18</v>
      </c>
      <c r="G107" t="s">
        <v>19</v>
      </c>
      <c r="H107" t="s">
        <v>20</v>
      </c>
      <c r="I107" t="s">
        <v>29</v>
      </c>
      <c r="J107" t="s">
        <v>54</v>
      </c>
      <c r="K107" s="2">
        <v>14774.15</v>
      </c>
      <c r="L107" s="4">
        <v>2</v>
      </c>
      <c r="M107" s="3">
        <v>0.27</v>
      </c>
      <c r="N107" s="2">
        <v>-517.1</v>
      </c>
    </row>
    <row r="108" spans="1:14" x14ac:dyDescent="0.3">
      <c r="A108" t="s">
        <v>1836</v>
      </c>
      <c r="B108" s="1">
        <v>44950</v>
      </c>
      <c r="C108" t="s">
        <v>350</v>
      </c>
      <c r="D108" t="s">
        <v>61</v>
      </c>
      <c r="E108" t="s">
        <v>51</v>
      </c>
      <c r="F108" t="s">
        <v>40</v>
      </c>
      <c r="G108" t="s">
        <v>41</v>
      </c>
      <c r="H108" t="s">
        <v>42</v>
      </c>
      <c r="I108" t="s">
        <v>43</v>
      </c>
      <c r="J108" t="s">
        <v>54</v>
      </c>
      <c r="K108" s="2">
        <v>7572.23</v>
      </c>
      <c r="L108" s="4">
        <v>7</v>
      </c>
      <c r="M108" s="3">
        <v>0.22</v>
      </c>
      <c r="N108" s="2">
        <v>-75.72</v>
      </c>
    </row>
    <row r="109" spans="1:14" x14ac:dyDescent="0.3">
      <c r="A109" t="s">
        <v>2162</v>
      </c>
      <c r="B109" s="1">
        <v>44950</v>
      </c>
      <c r="C109" t="s">
        <v>1624</v>
      </c>
      <c r="D109" t="s">
        <v>85</v>
      </c>
      <c r="E109" t="s">
        <v>17</v>
      </c>
      <c r="F109" t="s">
        <v>27</v>
      </c>
      <c r="G109" t="s">
        <v>28</v>
      </c>
      <c r="H109" t="s">
        <v>20</v>
      </c>
      <c r="I109" t="s">
        <v>43</v>
      </c>
      <c r="J109" t="s">
        <v>22</v>
      </c>
      <c r="K109" s="2">
        <v>1818.39</v>
      </c>
      <c r="L109" s="4">
        <v>1</v>
      </c>
      <c r="M109" s="3">
        <v>0.09</v>
      </c>
      <c r="N109" s="2">
        <v>100.01</v>
      </c>
    </row>
    <row r="110" spans="1:14" x14ac:dyDescent="0.3">
      <c r="A110" t="s">
        <v>1100</v>
      </c>
      <c r="B110" s="1">
        <v>44950</v>
      </c>
      <c r="C110" t="s">
        <v>1101</v>
      </c>
      <c r="D110" t="s">
        <v>57</v>
      </c>
      <c r="E110" t="s">
        <v>51</v>
      </c>
      <c r="F110" t="s">
        <v>34</v>
      </c>
      <c r="G110" t="s">
        <v>35</v>
      </c>
      <c r="H110" t="s">
        <v>36</v>
      </c>
      <c r="I110" t="s">
        <v>29</v>
      </c>
      <c r="J110" t="s">
        <v>37</v>
      </c>
      <c r="K110" s="2">
        <v>49509.29</v>
      </c>
      <c r="L110" s="4">
        <v>8</v>
      </c>
      <c r="M110" s="3">
        <v>0.02</v>
      </c>
      <c r="N110" s="2">
        <v>4455.84</v>
      </c>
    </row>
    <row r="111" spans="1:14" x14ac:dyDescent="0.3">
      <c r="A111" t="s">
        <v>923</v>
      </c>
      <c r="B111" s="1">
        <v>44951</v>
      </c>
      <c r="C111" t="s">
        <v>924</v>
      </c>
      <c r="D111" t="s">
        <v>57</v>
      </c>
      <c r="E111" t="s">
        <v>26</v>
      </c>
      <c r="F111" t="s">
        <v>79</v>
      </c>
      <c r="G111" t="s">
        <v>80</v>
      </c>
      <c r="H111" t="s">
        <v>47</v>
      </c>
      <c r="I111" t="s">
        <v>43</v>
      </c>
      <c r="J111" t="s">
        <v>30</v>
      </c>
      <c r="K111" s="2">
        <v>23030.47</v>
      </c>
      <c r="L111" s="4">
        <v>6</v>
      </c>
      <c r="M111" s="3">
        <v>0.22</v>
      </c>
      <c r="N111" s="2">
        <v>-230.3</v>
      </c>
    </row>
    <row r="112" spans="1:14" x14ac:dyDescent="0.3">
      <c r="A112" t="s">
        <v>1412</v>
      </c>
      <c r="B112" s="1">
        <v>44952</v>
      </c>
      <c r="C112" t="s">
        <v>1413</v>
      </c>
      <c r="D112" t="s">
        <v>61</v>
      </c>
      <c r="E112" t="s">
        <v>17</v>
      </c>
      <c r="F112" t="s">
        <v>18</v>
      </c>
      <c r="G112" t="s">
        <v>19</v>
      </c>
      <c r="H112" t="s">
        <v>20</v>
      </c>
      <c r="I112" t="s">
        <v>21</v>
      </c>
      <c r="J112" t="s">
        <v>64</v>
      </c>
      <c r="K112" s="2">
        <v>35730.67</v>
      </c>
      <c r="L112" s="4">
        <v>4</v>
      </c>
      <c r="M112" s="3">
        <v>0.2</v>
      </c>
      <c r="N112" s="2">
        <v>0</v>
      </c>
    </row>
    <row r="113" spans="1:14" x14ac:dyDescent="0.3">
      <c r="A113" t="s">
        <v>2025</v>
      </c>
      <c r="B113" s="1">
        <v>44952</v>
      </c>
      <c r="C113" t="s">
        <v>427</v>
      </c>
      <c r="D113" t="s">
        <v>57</v>
      </c>
      <c r="E113" t="s">
        <v>51</v>
      </c>
      <c r="F113" t="s">
        <v>46</v>
      </c>
      <c r="G113" t="s">
        <v>46</v>
      </c>
      <c r="H113" t="s">
        <v>47</v>
      </c>
      <c r="I113" t="s">
        <v>43</v>
      </c>
      <c r="J113" t="s">
        <v>30</v>
      </c>
      <c r="K113" s="2">
        <v>27094.21</v>
      </c>
      <c r="L113" s="4">
        <v>7</v>
      </c>
      <c r="M113" s="3">
        <v>0.05</v>
      </c>
      <c r="N113" s="2">
        <v>2032.07</v>
      </c>
    </row>
    <row r="114" spans="1:14" x14ac:dyDescent="0.3">
      <c r="A114" t="s">
        <v>757</v>
      </c>
      <c r="B114" s="1">
        <v>44952</v>
      </c>
      <c r="C114" t="s">
        <v>656</v>
      </c>
      <c r="D114" t="s">
        <v>25</v>
      </c>
      <c r="E114" t="s">
        <v>17</v>
      </c>
      <c r="F114" t="s">
        <v>18</v>
      </c>
      <c r="G114" t="s">
        <v>19</v>
      </c>
      <c r="H114" t="s">
        <v>20</v>
      </c>
      <c r="I114" t="s">
        <v>29</v>
      </c>
      <c r="J114" t="s">
        <v>64</v>
      </c>
      <c r="K114" s="2">
        <v>40558.120000000003</v>
      </c>
      <c r="L114" s="4">
        <v>9</v>
      </c>
      <c r="M114" s="3">
        <v>0.17</v>
      </c>
      <c r="N114" s="2">
        <v>608.37</v>
      </c>
    </row>
    <row r="115" spans="1:14" x14ac:dyDescent="0.3">
      <c r="A115" t="s">
        <v>443</v>
      </c>
      <c r="B115" s="1">
        <v>44953</v>
      </c>
      <c r="C115" t="s">
        <v>444</v>
      </c>
      <c r="D115" t="s">
        <v>61</v>
      </c>
      <c r="E115" t="s">
        <v>51</v>
      </c>
      <c r="F115" t="s">
        <v>40</v>
      </c>
      <c r="G115" t="s">
        <v>41</v>
      </c>
      <c r="H115" t="s">
        <v>42</v>
      </c>
      <c r="I115" t="s">
        <v>43</v>
      </c>
      <c r="J115" t="s">
        <v>37</v>
      </c>
      <c r="K115" s="2">
        <v>11964.13</v>
      </c>
      <c r="L115" s="4">
        <v>2</v>
      </c>
      <c r="M115" s="3">
        <v>0.18</v>
      </c>
      <c r="N115" s="2">
        <v>119.64</v>
      </c>
    </row>
    <row r="116" spans="1:14" x14ac:dyDescent="0.3">
      <c r="A116" t="s">
        <v>541</v>
      </c>
      <c r="B116" s="1">
        <v>44953</v>
      </c>
      <c r="C116" t="s">
        <v>542</v>
      </c>
      <c r="D116" t="s">
        <v>57</v>
      </c>
      <c r="E116" t="s">
        <v>51</v>
      </c>
      <c r="F116" t="s">
        <v>79</v>
      </c>
      <c r="G116" t="s">
        <v>80</v>
      </c>
      <c r="H116" t="s">
        <v>47</v>
      </c>
      <c r="I116" t="s">
        <v>29</v>
      </c>
      <c r="J116" t="s">
        <v>64</v>
      </c>
      <c r="K116" s="2">
        <v>38577.599999999999</v>
      </c>
      <c r="L116" s="4">
        <v>9</v>
      </c>
      <c r="M116" s="3">
        <v>0.28999999999999998</v>
      </c>
      <c r="N116" s="2">
        <v>-1735.99</v>
      </c>
    </row>
    <row r="117" spans="1:14" x14ac:dyDescent="0.3">
      <c r="A117" t="s">
        <v>637</v>
      </c>
      <c r="B117" s="1">
        <v>44953</v>
      </c>
      <c r="C117" t="s">
        <v>638</v>
      </c>
      <c r="D117" t="s">
        <v>50</v>
      </c>
      <c r="E117" t="s">
        <v>51</v>
      </c>
      <c r="F117" t="s">
        <v>18</v>
      </c>
      <c r="G117" t="s">
        <v>19</v>
      </c>
      <c r="H117" t="s">
        <v>20</v>
      </c>
      <c r="I117" t="s">
        <v>29</v>
      </c>
      <c r="J117" t="s">
        <v>22</v>
      </c>
      <c r="K117" s="2">
        <v>32130.55</v>
      </c>
      <c r="L117" s="4">
        <v>2</v>
      </c>
      <c r="M117" s="3">
        <v>0.22</v>
      </c>
      <c r="N117" s="2">
        <v>-321.31</v>
      </c>
    </row>
    <row r="118" spans="1:14" x14ac:dyDescent="0.3">
      <c r="A118" t="s">
        <v>1281</v>
      </c>
      <c r="B118" s="1">
        <v>44953</v>
      </c>
      <c r="C118" t="s">
        <v>1282</v>
      </c>
      <c r="D118" t="s">
        <v>25</v>
      </c>
      <c r="E118" t="s">
        <v>51</v>
      </c>
      <c r="F118" t="s">
        <v>46</v>
      </c>
      <c r="G118" t="s">
        <v>46</v>
      </c>
      <c r="H118" t="s">
        <v>47</v>
      </c>
      <c r="I118" t="s">
        <v>29</v>
      </c>
      <c r="J118" t="s">
        <v>64</v>
      </c>
      <c r="K118" s="2">
        <v>45268.28</v>
      </c>
      <c r="L118" s="4">
        <v>6</v>
      </c>
      <c r="M118" s="3">
        <v>0</v>
      </c>
      <c r="N118" s="2">
        <v>4526.83</v>
      </c>
    </row>
    <row r="119" spans="1:14" x14ac:dyDescent="0.3">
      <c r="A119" t="s">
        <v>492</v>
      </c>
      <c r="B119" s="1">
        <v>44954</v>
      </c>
      <c r="C119" t="s">
        <v>493</v>
      </c>
      <c r="D119" t="s">
        <v>50</v>
      </c>
      <c r="E119" t="s">
        <v>26</v>
      </c>
      <c r="F119" t="s">
        <v>40</v>
      </c>
      <c r="G119" t="s">
        <v>41</v>
      </c>
      <c r="H119" t="s">
        <v>42</v>
      </c>
      <c r="I119" t="s">
        <v>43</v>
      </c>
      <c r="J119" t="s">
        <v>106</v>
      </c>
      <c r="K119" s="2">
        <v>45103.41</v>
      </c>
      <c r="L119" s="4">
        <v>10</v>
      </c>
      <c r="M119" s="3">
        <v>0.05</v>
      </c>
      <c r="N119" s="2">
        <v>3382.76</v>
      </c>
    </row>
    <row r="120" spans="1:14" x14ac:dyDescent="0.3">
      <c r="A120" t="s">
        <v>921</v>
      </c>
      <c r="B120" s="1">
        <v>44954</v>
      </c>
      <c r="C120" t="s">
        <v>922</v>
      </c>
      <c r="D120" t="s">
        <v>50</v>
      </c>
      <c r="E120" t="s">
        <v>51</v>
      </c>
      <c r="F120" t="s">
        <v>79</v>
      </c>
      <c r="G120" t="s">
        <v>80</v>
      </c>
      <c r="H120" t="s">
        <v>47</v>
      </c>
      <c r="I120" t="s">
        <v>29</v>
      </c>
      <c r="J120" t="s">
        <v>64</v>
      </c>
      <c r="K120" s="2">
        <v>11701.38</v>
      </c>
      <c r="L120" s="4">
        <v>7</v>
      </c>
      <c r="M120" s="3">
        <v>0.08</v>
      </c>
      <c r="N120" s="2">
        <v>702.08</v>
      </c>
    </row>
    <row r="121" spans="1:14" x14ac:dyDescent="0.3">
      <c r="A121" t="s">
        <v>1241</v>
      </c>
      <c r="B121" s="1">
        <v>44954</v>
      </c>
      <c r="C121" t="s">
        <v>977</v>
      </c>
      <c r="D121" t="s">
        <v>33</v>
      </c>
      <c r="E121" t="s">
        <v>17</v>
      </c>
      <c r="F121" t="s">
        <v>79</v>
      </c>
      <c r="G121" t="s">
        <v>80</v>
      </c>
      <c r="H121" t="s">
        <v>47</v>
      </c>
      <c r="I121" t="s">
        <v>29</v>
      </c>
      <c r="J121" t="s">
        <v>22</v>
      </c>
      <c r="K121" s="2">
        <v>34258.58</v>
      </c>
      <c r="L121" s="4">
        <v>2</v>
      </c>
      <c r="M121" s="3">
        <v>0.14000000000000001</v>
      </c>
      <c r="N121" s="2">
        <v>1027.76</v>
      </c>
    </row>
    <row r="122" spans="1:14" x14ac:dyDescent="0.3">
      <c r="A122" t="s">
        <v>1776</v>
      </c>
      <c r="B122" s="1">
        <v>44954</v>
      </c>
      <c r="C122" t="s">
        <v>519</v>
      </c>
      <c r="D122" t="s">
        <v>50</v>
      </c>
      <c r="E122" t="s">
        <v>51</v>
      </c>
      <c r="F122" t="s">
        <v>34</v>
      </c>
      <c r="G122" t="s">
        <v>35</v>
      </c>
      <c r="H122" t="s">
        <v>36</v>
      </c>
      <c r="I122" t="s">
        <v>21</v>
      </c>
      <c r="J122" t="s">
        <v>22</v>
      </c>
      <c r="K122" s="2">
        <v>12840.86</v>
      </c>
      <c r="L122" s="4">
        <v>9</v>
      </c>
      <c r="M122" s="3">
        <v>0.13</v>
      </c>
      <c r="N122" s="2">
        <v>449.43</v>
      </c>
    </row>
    <row r="123" spans="1:14" x14ac:dyDescent="0.3">
      <c r="A123" t="s">
        <v>2208</v>
      </c>
      <c r="B123" s="1">
        <v>44954</v>
      </c>
      <c r="C123" t="s">
        <v>1585</v>
      </c>
      <c r="D123" t="s">
        <v>85</v>
      </c>
      <c r="E123" t="s">
        <v>17</v>
      </c>
      <c r="F123" t="s">
        <v>79</v>
      </c>
      <c r="G123" t="s">
        <v>80</v>
      </c>
      <c r="H123" t="s">
        <v>47</v>
      </c>
      <c r="I123" t="s">
        <v>43</v>
      </c>
      <c r="J123" t="s">
        <v>30</v>
      </c>
      <c r="K123" s="2">
        <v>13619.22</v>
      </c>
      <c r="L123" s="4">
        <v>5</v>
      </c>
      <c r="M123" s="3">
        <v>7.0000000000000007E-2</v>
      </c>
      <c r="N123" s="2">
        <v>885.25</v>
      </c>
    </row>
    <row r="124" spans="1:14" x14ac:dyDescent="0.3">
      <c r="A124" t="s">
        <v>1692</v>
      </c>
      <c r="B124" s="1">
        <v>44954</v>
      </c>
      <c r="C124" t="s">
        <v>688</v>
      </c>
      <c r="D124" t="s">
        <v>33</v>
      </c>
      <c r="E124" t="s">
        <v>17</v>
      </c>
      <c r="F124" t="s">
        <v>79</v>
      </c>
      <c r="G124" t="s">
        <v>80</v>
      </c>
      <c r="H124" t="s">
        <v>47</v>
      </c>
      <c r="I124" t="s">
        <v>43</v>
      </c>
      <c r="J124" t="s">
        <v>54</v>
      </c>
      <c r="K124" s="2">
        <v>48078.21</v>
      </c>
      <c r="L124" s="4">
        <v>6</v>
      </c>
      <c r="M124" s="3">
        <v>0.02</v>
      </c>
      <c r="N124" s="2">
        <v>4327.04</v>
      </c>
    </row>
    <row r="125" spans="1:14" x14ac:dyDescent="0.3">
      <c r="A125" t="s">
        <v>834</v>
      </c>
      <c r="B125" s="1">
        <v>44956</v>
      </c>
      <c r="C125" t="s">
        <v>105</v>
      </c>
      <c r="D125" t="s">
        <v>33</v>
      </c>
      <c r="E125" t="s">
        <v>17</v>
      </c>
      <c r="F125" t="s">
        <v>79</v>
      </c>
      <c r="G125" t="s">
        <v>80</v>
      </c>
      <c r="H125" t="s">
        <v>47</v>
      </c>
      <c r="I125" t="s">
        <v>43</v>
      </c>
      <c r="J125" t="s">
        <v>30</v>
      </c>
      <c r="K125" s="2">
        <v>43444.52</v>
      </c>
      <c r="L125" s="4">
        <v>5</v>
      </c>
      <c r="M125" s="3">
        <v>0.2</v>
      </c>
      <c r="N125" s="2">
        <v>0</v>
      </c>
    </row>
    <row r="126" spans="1:14" x14ac:dyDescent="0.3">
      <c r="A126" t="s">
        <v>1175</v>
      </c>
      <c r="B126" s="1">
        <v>44956</v>
      </c>
      <c r="C126" t="s">
        <v>78</v>
      </c>
      <c r="D126" t="s">
        <v>16</v>
      </c>
      <c r="E126" t="s">
        <v>51</v>
      </c>
      <c r="F126" t="s">
        <v>27</v>
      </c>
      <c r="G126" t="s">
        <v>28</v>
      </c>
      <c r="H126" t="s">
        <v>20</v>
      </c>
      <c r="I126" t="s">
        <v>29</v>
      </c>
      <c r="J126" t="s">
        <v>54</v>
      </c>
      <c r="K126" s="2">
        <v>17573.310000000001</v>
      </c>
      <c r="L126" s="4">
        <v>1</v>
      </c>
      <c r="M126" s="3">
        <v>0.12</v>
      </c>
      <c r="N126" s="2">
        <v>702.93</v>
      </c>
    </row>
    <row r="127" spans="1:14" x14ac:dyDescent="0.3">
      <c r="A127" t="s">
        <v>1422</v>
      </c>
      <c r="B127" s="1">
        <v>44956</v>
      </c>
      <c r="C127" t="s">
        <v>1423</v>
      </c>
      <c r="D127" t="s">
        <v>61</v>
      </c>
      <c r="E127" t="s">
        <v>17</v>
      </c>
      <c r="F127" t="s">
        <v>34</v>
      </c>
      <c r="G127" t="s">
        <v>35</v>
      </c>
      <c r="H127" t="s">
        <v>36</v>
      </c>
      <c r="I127" t="s">
        <v>21</v>
      </c>
      <c r="J127" t="s">
        <v>58</v>
      </c>
      <c r="K127" s="2">
        <v>18060.150000000001</v>
      </c>
      <c r="L127" s="4">
        <v>4</v>
      </c>
      <c r="M127" s="3">
        <v>0.14000000000000001</v>
      </c>
      <c r="N127" s="2">
        <v>541.79999999999995</v>
      </c>
    </row>
    <row r="128" spans="1:14" x14ac:dyDescent="0.3">
      <c r="A128" t="s">
        <v>1372</v>
      </c>
      <c r="B128" s="1">
        <v>44956</v>
      </c>
      <c r="C128" t="s">
        <v>1373</v>
      </c>
      <c r="D128" t="s">
        <v>25</v>
      </c>
      <c r="E128" t="s">
        <v>17</v>
      </c>
      <c r="F128" t="s">
        <v>46</v>
      </c>
      <c r="G128" t="s">
        <v>46</v>
      </c>
      <c r="H128" t="s">
        <v>47</v>
      </c>
      <c r="I128" t="s">
        <v>29</v>
      </c>
      <c r="J128" t="s">
        <v>64</v>
      </c>
      <c r="K128" s="2">
        <v>36704.04</v>
      </c>
      <c r="L128" s="4">
        <v>8</v>
      </c>
      <c r="M128" s="3">
        <v>0.1</v>
      </c>
      <c r="N128" s="2">
        <v>1835.2</v>
      </c>
    </row>
    <row r="129" spans="1:14" x14ac:dyDescent="0.3">
      <c r="A129" t="s">
        <v>846</v>
      </c>
      <c r="B129" s="1">
        <v>44957</v>
      </c>
      <c r="C129" t="s">
        <v>847</v>
      </c>
      <c r="D129" t="s">
        <v>57</v>
      </c>
      <c r="E129" t="s">
        <v>17</v>
      </c>
      <c r="F129" t="s">
        <v>27</v>
      </c>
      <c r="G129" t="s">
        <v>28</v>
      </c>
      <c r="H129" t="s">
        <v>20</v>
      </c>
      <c r="I129" t="s">
        <v>29</v>
      </c>
      <c r="J129" t="s">
        <v>37</v>
      </c>
      <c r="K129" s="2">
        <v>25596.27</v>
      </c>
      <c r="L129" s="4">
        <v>2</v>
      </c>
      <c r="M129" s="3">
        <v>0.09</v>
      </c>
      <c r="N129" s="2">
        <v>1407.79</v>
      </c>
    </row>
    <row r="130" spans="1:14" x14ac:dyDescent="0.3">
      <c r="A130" t="s">
        <v>1959</v>
      </c>
      <c r="B130" s="1">
        <v>44957</v>
      </c>
      <c r="C130" t="s">
        <v>1960</v>
      </c>
      <c r="D130" t="s">
        <v>61</v>
      </c>
      <c r="E130" t="s">
        <v>17</v>
      </c>
      <c r="F130" t="s">
        <v>46</v>
      </c>
      <c r="G130" t="s">
        <v>46</v>
      </c>
      <c r="H130" t="s">
        <v>47</v>
      </c>
      <c r="I130" t="s">
        <v>43</v>
      </c>
      <c r="J130" t="s">
        <v>54</v>
      </c>
      <c r="K130" s="2">
        <v>44861.33</v>
      </c>
      <c r="L130" s="4">
        <v>10</v>
      </c>
      <c r="M130" s="3">
        <v>0.24</v>
      </c>
      <c r="N130" s="2">
        <v>-897.23</v>
      </c>
    </row>
    <row r="131" spans="1:14" x14ac:dyDescent="0.3">
      <c r="A131" t="s">
        <v>159</v>
      </c>
      <c r="B131" s="1">
        <v>44958</v>
      </c>
      <c r="C131" t="s">
        <v>160</v>
      </c>
      <c r="D131" t="s">
        <v>61</v>
      </c>
      <c r="E131" t="s">
        <v>26</v>
      </c>
      <c r="F131" t="s">
        <v>34</v>
      </c>
      <c r="G131" t="s">
        <v>35</v>
      </c>
      <c r="H131" t="s">
        <v>36</v>
      </c>
      <c r="I131" t="s">
        <v>29</v>
      </c>
      <c r="J131" t="s">
        <v>58</v>
      </c>
      <c r="K131" s="2">
        <v>22015.119999999999</v>
      </c>
      <c r="L131" s="4">
        <v>2</v>
      </c>
      <c r="M131" s="3">
        <v>0.19</v>
      </c>
      <c r="N131" s="2">
        <v>110.08</v>
      </c>
    </row>
    <row r="132" spans="1:14" x14ac:dyDescent="0.3">
      <c r="A132" t="s">
        <v>991</v>
      </c>
      <c r="B132" s="1">
        <v>44958</v>
      </c>
      <c r="C132" t="s">
        <v>950</v>
      </c>
      <c r="D132" t="s">
        <v>50</v>
      </c>
      <c r="E132" t="s">
        <v>51</v>
      </c>
      <c r="F132" t="s">
        <v>79</v>
      </c>
      <c r="G132" t="s">
        <v>80</v>
      </c>
      <c r="H132" t="s">
        <v>47</v>
      </c>
      <c r="I132" t="s">
        <v>43</v>
      </c>
      <c r="J132" t="s">
        <v>37</v>
      </c>
      <c r="K132" s="2">
        <v>3996.36</v>
      </c>
      <c r="L132" s="4">
        <v>6</v>
      </c>
      <c r="M132" s="3">
        <v>0.14000000000000001</v>
      </c>
      <c r="N132" s="2">
        <v>119.89</v>
      </c>
    </row>
    <row r="133" spans="1:14" x14ac:dyDescent="0.3">
      <c r="A133" t="s">
        <v>1514</v>
      </c>
      <c r="B133" s="1">
        <v>44958</v>
      </c>
      <c r="C133" t="s">
        <v>1515</v>
      </c>
      <c r="D133" t="s">
        <v>25</v>
      </c>
      <c r="E133" t="s">
        <v>51</v>
      </c>
      <c r="F133" t="s">
        <v>27</v>
      </c>
      <c r="G133" t="s">
        <v>28</v>
      </c>
      <c r="H133" t="s">
        <v>20</v>
      </c>
      <c r="I133" t="s">
        <v>21</v>
      </c>
      <c r="J133" t="s">
        <v>58</v>
      </c>
      <c r="K133" s="2">
        <v>7171.52</v>
      </c>
      <c r="L133" s="4">
        <v>8</v>
      </c>
      <c r="M133" s="3">
        <v>0.11</v>
      </c>
      <c r="N133" s="2">
        <v>322.72000000000003</v>
      </c>
    </row>
    <row r="134" spans="1:14" x14ac:dyDescent="0.3">
      <c r="A134" t="s">
        <v>2036</v>
      </c>
      <c r="B134" s="1">
        <v>44958</v>
      </c>
      <c r="C134" t="s">
        <v>938</v>
      </c>
      <c r="D134" t="s">
        <v>85</v>
      </c>
      <c r="E134" t="s">
        <v>51</v>
      </c>
      <c r="F134" t="s">
        <v>79</v>
      </c>
      <c r="G134" t="s">
        <v>80</v>
      </c>
      <c r="H134" t="s">
        <v>47</v>
      </c>
      <c r="I134" t="s">
        <v>21</v>
      </c>
      <c r="J134" t="s">
        <v>22</v>
      </c>
      <c r="K134" s="2">
        <v>48122.38</v>
      </c>
      <c r="L134" s="4">
        <v>8</v>
      </c>
      <c r="M134" s="3">
        <v>0.13</v>
      </c>
      <c r="N134" s="2">
        <v>1684.28</v>
      </c>
    </row>
    <row r="135" spans="1:14" x14ac:dyDescent="0.3">
      <c r="A135" t="s">
        <v>1668</v>
      </c>
      <c r="B135" s="1">
        <v>44958</v>
      </c>
      <c r="C135" t="s">
        <v>667</v>
      </c>
      <c r="D135" t="s">
        <v>25</v>
      </c>
      <c r="E135" t="s">
        <v>51</v>
      </c>
      <c r="F135" t="s">
        <v>40</v>
      </c>
      <c r="G135" t="s">
        <v>41</v>
      </c>
      <c r="H135" t="s">
        <v>42</v>
      </c>
      <c r="I135" t="s">
        <v>21</v>
      </c>
      <c r="J135" t="s">
        <v>37</v>
      </c>
      <c r="K135" s="2">
        <v>11985.88</v>
      </c>
      <c r="L135" s="4">
        <v>10</v>
      </c>
      <c r="M135" s="3">
        <v>0.01</v>
      </c>
      <c r="N135" s="2">
        <v>1138.6600000000001</v>
      </c>
    </row>
    <row r="136" spans="1:14" x14ac:dyDescent="0.3">
      <c r="A136" t="s">
        <v>1544</v>
      </c>
      <c r="B136" s="1">
        <v>44959</v>
      </c>
      <c r="C136" t="s">
        <v>344</v>
      </c>
      <c r="D136" t="s">
        <v>50</v>
      </c>
      <c r="E136" t="s">
        <v>51</v>
      </c>
      <c r="F136" t="s">
        <v>40</v>
      </c>
      <c r="G136" t="s">
        <v>41</v>
      </c>
      <c r="H136" t="s">
        <v>42</v>
      </c>
      <c r="I136" t="s">
        <v>29</v>
      </c>
      <c r="J136" t="s">
        <v>22</v>
      </c>
      <c r="K136" s="2">
        <v>26497.759999999998</v>
      </c>
      <c r="L136" s="4">
        <v>3</v>
      </c>
      <c r="M136" s="3">
        <v>0.04</v>
      </c>
      <c r="N136" s="2">
        <v>2119.8200000000002</v>
      </c>
    </row>
    <row r="137" spans="1:14" x14ac:dyDescent="0.3">
      <c r="A137" t="s">
        <v>1861</v>
      </c>
      <c r="B137" s="1">
        <v>44959</v>
      </c>
      <c r="C137" t="s">
        <v>1862</v>
      </c>
      <c r="D137" t="s">
        <v>57</v>
      </c>
      <c r="E137" t="s">
        <v>51</v>
      </c>
      <c r="F137" t="s">
        <v>46</v>
      </c>
      <c r="G137" t="s">
        <v>46</v>
      </c>
      <c r="H137" t="s">
        <v>47</v>
      </c>
      <c r="I137" t="s">
        <v>21</v>
      </c>
      <c r="J137" t="s">
        <v>30</v>
      </c>
      <c r="K137" s="2">
        <v>11299.3</v>
      </c>
      <c r="L137" s="4">
        <v>8</v>
      </c>
      <c r="M137" s="3">
        <v>0.17</v>
      </c>
      <c r="N137" s="2">
        <v>169.49</v>
      </c>
    </row>
    <row r="138" spans="1:14" x14ac:dyDescent="0.3">
      <c r="A138" t="s">
        <v>1315</v>
      </c>
      <c r="B138" s="1">
        <v>44959</v>
      </c>
      <c r="C138" t="s">
        <v>1316</v>
      </c>
      <c r="D138" t="s">
        <v>57</v>
      </c>
      <c r="E138" t="s">
        <v>51</v>
      </c>
      <c r="F138" t="s">
        <v>18</v>
      </c>
      <c r="G138" t="s">
        <v>19</v>
      </c>
      <c r="H138" t="s">
        <v>20</v>
      </c>
      <c r="I138" t="s">
        <v>29</v>
      </c>
      <c r="J138" t="s">
        <v>30</v>
      </c>
      <c r="K138" s="2">
        <v>23302.69</v>
      </c>
      <c r="L138" s="4">
        <v>5</v>
      </c>
      <c r="M138" s="3">
        <v>0.26</v>
      </c>
      <c r="N138" s="2">
        <v>-699.08</v>
      </c>
    </row>
    <row r="139" spans="1:14" x14ac:dyDescent="0.3">
      <c r="A139" t="s">
        <v>289</v>
      </c>
      <c r="B139" s="1">
        <v>44959</v>
      </c>
      <c r="C139" t="s">
        <v>290</v>
      </c>
      <c r="D139" t="s">
        <v>61</v>
      </c>
      <c r="E139" t="s">
        <v>51</v>
      </c>
      <c r="F139" t="s">
        <v>40</v>
      </c>
      <c r="G139" t="s">
        <v>41</v>
      </c>
      <c r="H139" t="s">
        <v>42</v>
      </c>
      <c r="I139" t="s">
        <v>43</v>
      </c>
      <c r="J139" t="s">
        <v>106</v>
      </c>
      <c r="K139" s="2">
        <v>31044.37</v>
      </c>
      <c r="L139" s="4">
        <v>1</v>
      </c>
      <c r="M139" s="3">
        <v>7.0000000000000007E-2</v>
      </c>
      <c r="N139" s="2">
        <v>2017.88</v>
      </c>
    </row>
    <row r="140" spans="1:14" x14ac:dyDescent="0.3">
      <c r="A140" t="s">
        <v>381</v>
      </c>
      <c r="B140" s="1">
        <v>44960</v>
      </c>
      <c r="C140" t="s">
        <v>382</v>
      </c>
      <c r="D140" t="s">
        <v>57</v>
      </c>
      <c r="E140" t="s">
        <v>51</v>
      </c>
      <c r="F140" t="s">
        <v>18</v>
      </c>
      <c r="G140" t="s">
        <v>19</v>
      </c>
      <c r="H140" t="s">
        <v>20</v>
      </c>
      <c r="I140" t="s">
        <v>29</v>
      </c>
      <c r="J140" t="s">
        <v>106</v>
      </c>
      <c r="K140" s="2">
        <v>39870.35</v>
      </c>
      <c r="L140" s="4">
        <v>8</v>
      </c>
      <c r="M140" s="3">
        <v>0.18</v>
      </c>
      <c r="N140" s="2">
        <v>398.7</v>
      </c>
    </row>
    <row r="141" spans="1:14" x14ac:dyDescent="0.3">
      <c r="A141" t="s">
        <v>1875</v>
      </c>
      <c r="B141" s="1">
        <v>44960</v>
      </c>
      <c r="C141" t="s">
        <v>1831</v>
      </c>
      <c r="D141" t="s">
        <v>61</v>
      </c>
      <c r="E141" t="s">
        <v>51</v>
      </c>
      <c r="F141" t="s">
        <v>18</v>
      </c>
      <c r="G141" t="s">
        <v>19</v>
      </c>
      <c r="H141" t="s">
        <v>20</v>
      </c>
      <c r="I141" t="s">
        <v>21</v>
      </c>
      <c r="J141" t="s">
        <v>22</v>
      </c>
      <c r="K141" s="2">
        <v>23066.95</v>
      </c>
      <c r="L141" s="4">
        <v>4</v>
      </c>
      <c r="M141" s="3">
        <v>0.27</v>
      </c>
      <c r="N141" s="2">
        <v>-807.34</v>
      </c>
    </row>
    <row r="142" spans="1:14" x14ac:dyDescent="0.3">
      <c r="A142" t="s">
        <v>537</v>
      </c>
      <c r="B142" s="1">
        <v>44961</v>
      </c>
      <c r="C142" t="s">
        <v>538</v>
      </c>
      <c r="D142" t="s">
        <v>57</v>
      </c>
      <c r="E142" t="s">
        <v>17</v>
      </c>
      <c r="F142" t="s">
        <v>46</v>
      </c>
      <c r="G142" t="s">
        <v>46</v>
      </c>
      <c r="H142" t="s">
        <v>47</v>
      </c>
      <c r="I142" t="s">
        <v>43</v>
      </c>
      <c r="J142" t="s">
        <v>64</v>
      </c>
      <c r="K142" s="2">
        <v>9050.1299999999992</v>
      </c>
      <c r="L142" s="4">
        <v>3</v>
      </c>
      <c r="M142" s="3">
        <v>0.25</v>
      </c>
      <c r="N142" s="2">
        <v>-226.25</v>
      </c>
    </row>
    <row r="143" spans="1:14" x14ac:dyDescent="0.3">
      <c r="A143" t="s">
        <v>1651</v>
      </c>
      <c r="B143" s="1">
        <v>44961</v>
      </c>
      <c r="C143" t="s">
        <v>1652</v>
      </c>
      <c r="D143" t="s">
        <v>16</v>
      </c>
      <c r="E143" t="s">
        <v>17</v>
      </c>
      <c r="F143" t="s">
        <v>18</v>
      </c>
      <c r="G143" t="s">
        <v>19</v>
      </c>
      <c r="H143" t="s">
        <v>20</v>
      </c>
      <c r="I143" t="s">
        <v>29</v>
      </c>
      <c r="J143" t="s">
        <v>54</v>
      </c>
      <c r="K143" s="2">
        <v>12647.03</v>
      </c>
      <c r="L143" s="4">
        <v>8</v>
      </c>
      <c r="M143" s="3">
        <v>0.05</v>
      </c>
      <c r="N143" s="2">
        <v>948.53</v>
      </c>
    </row>
    <row r="144" spans="1:14" x14ac:dyDescent="0.3">
      <c r="A144" t="s">
        <v>2179</v>
      </c>
      <c r="B144" s="1">
        <v>44961</v>
      </c>
      <c r="C144" t="s">
        <v>2131</v>
      </c>
      <c r="D144" t="s">
        <v>33</v>
      </c>
      <c r="E144" t="s">
        <v>26</v>
      </c>
      <c r="F144" t="s">
        <v>40</v>
      </c>
      <c r="G144" t="s">
        <v>41</v>
      </c>
      <c r="H144" t="s">
        <v>42</v>
      </c>
      <c r="I144" t="s">
        <v>43</v>
      </c>
      <c r="J144" t="s">
        <v>30</v>
      </c>
      <c r="K144" s="2">
        <v>26950.2</v>
      </c>
      <c r="L144" s="4">
        <v>4</v>
      </c>
      <c r="M144" s="3">
        <v>0.22</v>
      </c>
      <c r="N144" s="2">
        <v>-269.5</v>
      </c>
    </row>
    <row r="145" spans="1:14" x14ac:dyDescent="0.3">
      <c r="A145" t="s">
        <v>1184</v>
      </c>
      <c r="B145" s="1">
        <v>44962</v>
      </c>
      <c r="C145" t="s">
        <v>734</v>
      </c>
      <c r="D145" t="s">
        <v>33</v>
      </c>
      <c r="E145" t="s">
        <v>51</v>
      </c>
      <c r="F145" t="s">
        <v>79</v>
      </c>
      <c r="G145" t="s">
        <v>80</v>
      </c>
      <c r="H145" t="s">
        <v>47</v>
      </c>
      <c r="I145" t="s">
        <v>29</v>
      </c>
      <c r="J145" t="s">
        <v>22</v>
      </c>
      <c r="K145" s="2">
        <v>3610.62</v>
      </c>
      <c r="L145" s="4">
        <v>9</v>
      </c>
      <c r="M145" s="3">
        <v>0.28000000000000003</v>
      </c>
      <c r="N145" s="2">
        <v>-144.41999999999999</v>
      </c>
    </row>
    <row r="146" spans="1:14" x14ac:dyDescent="0.3">
      <c r="A146" t="s">
        <v>1475</v>
      </c>
      <c r="B146" s="1">
        <v>44962</v>
      </c>
      <c r="C146" t="s">
        <v>1476</v>
      </c>
      <c r="D146" t="s">
        <v>16</v>
      </c>
      <c r="E146" t="s">
        <v>17</v>
      </c>
      <c r="F146" t="s">
        <v>27</v>
      </c>
      <c r="G146" t="s">
        <v>28</v>
      </c>
      <c r="H146" t="s">
        <v>20</v>
      </c>
      <c r="I146" t="s">
        <v>21</v>
      </c>
      <c r="J146" t="s">
        <v>54</v>
      </c>
      <c r="K146" s="2">
        <v>46265.77</v>
      </c>
      <c r="L146" s="4">
        <v>3</v>
      </c>
      <c r="M146" s="3">
        <v>0.16</v>
      </c>
      <c r="N146" s="2">
        <v>925.32</v>
      </c>
    </row>
    <row r="147" spans="1:14" x14ac:dyDescent="0.3">
      <c r="A147" t="s">
        <v>191</v>
      </c>
      <c r="B147" s="1">
        <v>44963</v>
      </c>
      <c r="C147" t="s">
        <v>192</v>
      </c>
      <c r="D147" t="s">
        <v>50</v>
      </c>
      <c r="E147" t="s">
        <v>26</v>
      </c>
      <c r="F147" t="s">
        <v>34</v>
      </c>
      <c r="G147" t="s">
        <v>35</v>
      </c>
      <c r="H147" t="s">
        <v>36</v>
      </c>
      <c r="I147" t="s">
        <v>21</v>
      </c>
      <c r="J147" t="s">
        <v>54</v>
      </c>
      <c r="K147" s="2">
        <v>38810.35</v>
      </c>
      <c r="L147" s="4">
        <v>9</v>
      </c>
      <c r="M147" s="3">
        <v>0.1</v>
      </c>
      <c r="N147" s="2">
        <v>1940.52</v>
      </c>
    </row>
    <row r="148" spans="1:14" x14ac:dyDescent="0.3">
      <c r="A148" t="s">
        <v>461</v>
      </c>
      <c r="B148" s="1">
        <v>44963</v>
      </c>
      <c r="C148" t="s">
        <v>382</v>
      </c>
      <c r="D148" t="s">
        <v>50</v>
      </c>
      <c r="E148" t="s">
        <v>26</v>
      </c>
      <c r="F148" t="s">
        <v>40</v>
      </c>
      <c r="G148" t="s">
        <v>41</v>
      </c>
      <c r="H148" t="s">
        <v>42</v>
      </c>
      <c r="I148" t="s">
        <v>29</v>
      </c>
      <c r="J148" t="s">
        <v>58</v>
      </c>
      <c r="K148" s="2">
        <v>9878.8700000000008</v>
      </c>
      <c r="L148" s="4">
        <v>10</v>
      </c>
      <c r="M148" s="3">
        <v>0.16</v>
      </c>
      <c r="N148" s="2">
        <v>197.58</v>
      </c>
    </row>
    <row r="149" spans="1:14" x14ac:dyDescent="0.3">
      <c r="A149" t="s">
        <v>588</v>
      </c>
      <c r="B149" s="1">
        <v>44963</v>
      </c>
      <c r="C149" t="s">
        <v>589</v>
      </c>
      <c r="D149" t="s">
        <v>33</v>
      </c>
      <c r="E149" t="s">
        <v>51</v>
      </c>
      <c r="F149" t="s">
        <v>40</v>
      </c>
      <c r="G149" t="s">
        <v>41</v>
      </c>
      <c r="H149" t="s">
        <v>42</v>
      </c>
      <c r="I149" t="s">
        <v>29</v>
      </c>
      <c r="J149" t="s">
        <v>54</v>
      </c>
      <c r="K149" s="2">
        <v>23509.81</v>
      </c>
      <c r="L149" s="4">
        <v>6</v>
      </c>
      <c r="M149" s="3">
        <v>0.19</v>
      </c>
      <c r="N149" s="2">
        <v>117.55</v>
      </c>
    </row>
    <row r="150" spans="1:14" x14ac:dyDescent="0.3">
      <c r="A150" t="s">
        <v>1016</v>
      </c>
      <c r="B150" s="1">
        <v>44963</v>
      </c>
      <c r="C150" t="s">
        <v>1017</v>
      </c>
      <c r="D150" t="s">
        <v>33</v>
      </c>
      <c r="E150" t="s">
        <v>51</v>
      </c>
      <c r="F150" t="s">
        <v>34</v>
      </c>
      <c r="G150" t="s">
        <v>35</v>
      </c>
      <c r="H150" t="s">
        <v>36</v>
      </c>
      <c r="I150" t="s">
        <v>29</v>
      </c>
      <c r="J150" t="s">
        <v>30</v>
      </c>
      <c r="K150" s="2">
        <v>25801.67</v>
      </c>
      <c r="L150" s="4">
        <v>10</v>
      </c>
      <c r="M150" s="3">
        <v>0.08</v>
      </c>
      <c r="N150" s="2">
        <v>1548.1</v>
      </c>
    </row>
    <row r="151" spans="1:14" x14ac:dyDescent="0.3">
      <c r="A151" t="s">
        <v>1775</v>
      </c>
      <c r="B151" s="1">
        <v>44963</v>
      </c>
      <c r="C151" t="s">
        <v>380</v>
      </c>
      <c r="D151" t="s">
        <v>85</v>
      </c>
      <c r="E151" t="s">
        <v>51</v>
      </c>
      <c r="F151" t="s">
        <v>34</v>
      </c>
      <c r="G151" t="s">
        <v>35</v>
      </c>
      <c r="H151" t="s">
        <v>36</v>
      </c>
      <c r="I151" t="s">
        <v>21</v>
      </c>
      <c r="J151" t="s">
        <v>37</v>
      </c>
      <c r="K151" s="2">
        <v>22852.54</v>
      </c>
      <c r="L151" s="4">
        <v>7</v>
      </c>
      <c r="M151" s="3">
        <v>0.09</v>
      </c>
      <c r="N151" s="2">
        <v>1256.8900000000001</v>
      </c>
    </row>
    <row r="152" spans="1:14" x14ac:dyDescent="0.3">
      <c r="A152" t="s">
        <v>1590</v>
      </c>
      <c r="B152" s="1">
        <v>44963</v>
      </c>
      <c r="C152" t="s">
        <v>1591</v>
      </c>
      <c r="D152" t="s">
        <v>57</v>
      </c>
      <c r="E152" t="s">
        <v>17</v>
      </c>
      <c r="F152" t="s">
        <v>27</v>
      </c>
      <c r="G152" t="s">
        <v>28</v>
      </c>
      <c r="H152" t="s">
        <v>20</v>
      </c>
      <c r="I152" t="s">
        <v>29</v>
      </c>
      <c r="J152" t="s">
        <v>106</v>
      </c>
      <c r="K152" s="2">
        <v>41677.57</v>
      </c>
      <c r="L152" s="4">
        <v>7</v>
      </c>
      <c r="M152" s="3">
        <v>0.15</v>
      </c>
      <c r="N152" s="2">
        <v>1041.94</v>
      </c>
    </row>
    <row r="153" spans="1:14" x14ac:dyDescent="0.3">
      <c r="A153" t="s">
        <v>516</v>
      </c>
      <c r="B153" s="1">
        <v>44963</v>
      </c>
      <c r="C153" t="s">
        <v>517</v>
      </c>
      <c r="D153" t="s">
        <v>57</v>
      </c>
      <c r="E153" t="s">
        <v>51</v>
      </c>
      <c r="F153" t="s">
        <v>79</v>
      </c>
      <c r="G153" t="s">
        <v>80</v>
      </c>
      <c r="H153" t="s">
        <v>47</v>
      </c>
      <c r="I153" t="s">
        <v>43</v>
      </c>
      <c r="J153" t="s">
        <v>64</v>
      </c>
      <c r="K153" s="2">
        <v>11437.65</v>
      </c>
      <c r="L153" s="4">
        <v>3</v>
      </c>
      <c r="M153" s="3">
        <v>0.24</v>
      </c>
      <c r="N153" s="2">
        <v>-228.75</v>
      </c>
    </row>
    <row r="154" spans="1:14" x14ac:dyDescent="0.3">
      <c r="A154" t="s">
        <v>155</v>
      </c>
      <c r="B154" s="1">
        <v>44964</v>
      </c>
      <c r="C154" t="s">
        <v>156</v>
      </c>
      <c r="D154" t="s">
        <v>25</v>
      </c>
      <c r="E154" t="s">
        <v>26</v>
      </c>
      <c r="F154" t="s">
        <v>40</v>
      </c>
      <c r="G154" t="s">
        <v>41</v>
      </c>
      <c r="H154" t="s">
        <v>42</v>
      </c>
      <c r="I154" t="s">
        <v>29</v>
      </c>
      <c r="J154" t="s">
        <v>64</v>
      </c>
      <c r="K154" s="2">
        <v>35561.730000000003</v>
      </c>
      <c r="L154" s="4">
        <v>8</v>
      </c>
      <c r="M154" s="3">
        <v>0.06</v>
      </c>
      <c r="N154" s="2">
        <v>2489.3200000000002</v>
      </c>
    </row>
    <row r="155" spans="1:14" x14ac:dyDescent="0.3">
      <c r="A155" t="s">
        <v>2058</v>
      </c>
      <c r="B155" s="1">
        <v>44964</v>
      </c>
      <c r="C155" t="s">
        <v>1553</v>
      </c>
      <c r="D155" t="s">
        <v>25</v>
      </c>
      <c r="E155" t="s">
        <v>17</v>
      </c>
      <c r="F155" t="s">
        <v>40</v>
      </c>
      <c r="G155" t="s">
        <v>41</v>
      </c>
      <c r="H155" t="s">
        <v>42</v>
      </c>
      <c r="I155" t="s">
        <v>43</v>
      </c>
      <c r="J155" t="s">
        <v>64</v>
      </c>
      <c r="K155" s="2">
        <v>5555.32</v>
      </c>
      <c r="L155" s="4">
        <v>5</v>
      </c>
      <c r="M155" s="3">
        <v>0.02</v>
      </c>
      <c r="N155" s="2">
        <v>499.98</v>
      </c>
    </row>
    <row r="156" spans="1:14" x14ac:dyDescent="0.3">
      <c r="A156" t="s">
        <v>2178</v>
      </c>
      <c r="B156" s="1">
        <v>44964</v>
      </c>
      <c r="C156" t="s">
        <v>1948</v>
      </c>
      <c r="D156" t="s">
        <v>16</v>
      </c>
      <c r="E156" t="s">
        <v>17</v>
      </c>
      <c r="F156" t="s">
        <v>18</v>
      </c>
      <c r="G156" t="s">
        <v>19</v>
      </c>
      <c r="H156" t="s">
        <v>20</v>
      </c>
      <c r="I156" t="s">
        <v>29</v>
      </c>
      <c r="J156" t="s">
        <v>64</v>
      </c>
      <c r="K156" s="2">
        <v>20433.759999999998</v>
      </c>
      <c r="L156" s="4">
        <v>4</v>
      </c>
      <c r="M156" s="3">
        <v>0.08</v>
      </c>
      <c r="N156" s="2">
        <v>1226.03</v>
      </c>
    </row>
    <row r="157" spans="1:14" x14ac:dyDescent="0.3">
      <c r="A157" t="s">
        <v>1378</v>
      </c>
      <c r="B157" s="1">
        <v>44964</v>
      </c>
      <c r="C157" t="s">
        <v>667</v>
      </c>
      <c r="D157" t="s">
        <v>61</v>
      </c>
      <c r="E157" t="s">
        <v>51</v>
      </c>
      <c r="F157" t="s">
        <v>34</v>
      </c>
      <c r="G157" t="s">
        <v>35</v>
      </c>
      <c r="H157" t="s">
        <v>36</v>
      </c>
      <c r="I157" t="s">
        <v>29</v>
      </c>
      <c r="J157" t="s">
        <v>22</v>
      </c>
      <c r="K157" s="2">
        <v>29852.43</v>
      </c>
      <c r="L157" s="4">
        <v>9</v>
      </c>
      <c r="M157" s="3">
        <v>0.21</v>
      </c>
      <c r="N157" s="2">
        <v>-149.26</v>
      </c>
    </row>
    <row r="158" spans="1:14" x14ac:dyDescent="0.3">
      <c r="A158" t="s">
        <v>817</v>
      </c>
      <c r="B158" s="1">
        <v>44964</v>
      </c>
      <c r="C158" t="s">
        <v>818</v>
      </c>
      <c r="D158" t="s">
        <v>57</v>
      </c>
      <c r="E158" t="s">
        <v>51</v>
      </c>
      <c r="F158" t="s">
        <v>34</v>
      </c>
      <c r="G158" t="s">
        <v>35</v>
      </c>
      <c r="H158" t="s">
        <v>36</v>
      </c>
      <c r="I158" t="s">
        <v>21</v>
      </c>
      <c r="J158" t="s">
        <v>37</v>
      </c>
      <c r="K158" s="2">
        <v>29098.11</v>
      </c>
      <c r="L158" s="4">
        <v>3</v>
      </c>
      <c r="M158" s="3">
        <v>0.15</v>
      </c>
      <c r="N158" s="2">
        <v>727.45</v>
      </c>
    </row>
    <row r="159" spans="1:14" x14ac:dyDescent="0.3">
      <c r="A159" t="s">
        <v>563</v>
      </c>
      <c r="B159" s="1">
        <v>44965</v>
      </c>
      <c r="C159" t="s">
        <v>156</v>
      </c>
      <c r="D159" t="s">
        <v>25</v>
      </c>
      <c r="E159" t="s">
        <v>26</v>
      </c>
      <c r="F159" t="s">
        <v>34</v>
      </c>
      <c r="G159" t="s">
        <v>35</v>
      </c>
      <c r="H159" t="s">
        <v>36</v>
      </c>
      <c r="I159" t="s">
        <v>21</v>
      </c>
      <c r="J159" t="s">
        <v>106</v>
      </c>
      <c r="K159" s="2">
        <v>12773.64</v>
      </c>
      <c r="L159" s="4">
        <v>4</v>
      </c>
      <c r="M159" s="3">
        <v>7.0000000000000007E-2</v>
      </c>
      <c r="N159" s="2">
        <v>830.29</v>
      </c>
    </row>
    <row r="160" spans="1:14" x14ac:dyDescent="0.3">
      <c r="A160" t="s">
        <v>777</v>
      </c>
      <c r="B160" s="1">
        <v>44965</v>
      </c>
      <c r="C160" t="s">
        <v>756</v>
      </c>
      <c r="D160" t="s">
        <v>33</v>
      </c>
      <c r="E160" t="s">
        <v>51</v>
      </c>
      <c r="F160" t="s">
        <v>18</v>
      </c>
      <c r="G160" t="s">
        <v>19</v>
      </c>
      <c r="H160" t="s">
        <v>20</v>
      </c>
      <c r="I160" t="s">
        <v>43</v>
      </c>
      <c r="J160" t="s">
        <v>30</v>
      </c>
      <c r="K160" s="2">
        <v>31874.91</v>
      </c>
      <c r="L160" s="4">
        <v>1</v>
      </c>
      <c r="M160" s="3">
        <v>0.25</v>
      </c>
      <c r="N160" s="2">
        <v>-796.87</v>
      </c>
    </row>
    <row r="161" spans="1:14" x14ac:dyDescent="0.3">
      <c r="A161" t="s">
        <v>1179</v>
      </c>
      <c r="B161" s="1">
        <v>44965</v>
      </c>
      <c r="C161" t="s">
        <v>900</v>
      </c>
      <c r="D161" t="s">
        <v>50</v>
      </c>
      <c r="E161" t="s">
        <v>26</v>
      </c>
      <c r="F161" t="s">
        <v>27</v>
      </c>
      <c r="G161" t="s">
        <v>28</v>
      </c>
      <c r="H161" t="s">
        <v>20</v>
      </c>
      <c r="I161" t="s">
        <v>29</v>
      </c>
      <c r="J161" t="s">
        <v>58</v>
      </c>
      <c r="K161" s="2">
        <v>12583.96</v>
      </c>
      <c r="L161" s="4">
        <v>10</v>
      </c>
      <c r="M161" s="3">
        <v>0.22</v>
      </c>
      <c r="N161" s="2">
        <v>-125.84</v>
      </c>
    </row>
    <row r="162" spans="1:14" x14ac:dyDescent="0.3">
      <c r="A162" t="s">
        <v>2067</v>
      </c>
      <c r="B162" s="1">
        <v>44965</v>
      </c>
      <c r="C162" t="s">
        <v>1099</v>
      </c>
      <c r="D162" t="s">
        <v>50</v>
      </c>
      <c r="E162" t="s">
        <v>26</v>
      </c>
      <c r="F162" t="s">
        <v>34</v>
      </c>
      <c r="G162" t="s">
        <v>35</v>
      </c>
      <c r="H162" t="s">
        <v>36</v>
      </c>
      <c r="I162" t="s">
        <v>43</v>
      </c>
      <c r="J162" t="s">
        <v>58</v>
      </c>
      <c r="K162" s="2">
        <v>13701.28</v>
      </c>
      <c r="L162" s="4">
        <v>3</v>
      </c>
      <c r="M162" s="3">
        <v>0.01</v>
      </c>
      <c r="N162" s="2">
        <v>1301.6199999999999</v>
      </c>
    </row>
    <row r="163" spans="1:14" x14ac:dyDescent="0.3">
      <c r="A163" t="s">
        <v>2078</v>
      </c>
      <c r="B163" s="1">
        <v>44965</v>
      </c>
      <c r="C163" t="s">
        <v>2079</v>
      </c>
      <c r="D163" t="s">
        <v>85</v>
      </c>
      <c r="E163" t="s">
        <v>26</v>
      </c>
      <c r="F163" t="s">
        <v>34</v>
      </c>
      <c r="G163" t="s">
        <v>35</v>
      </c>
      <c r="H163" t="s">
        <v>36</v>
      </c>
      <c r="I163" t="s">
        <v>29</v>
      </c>
      <c r="J163" t="s">
        <v>30</v>
      </c>
      <c r="K163" s="2">
        <v>39972.86</v>
      </c>
      <c r="L163" s="4">
        <v>1</v>
      </c>
      <c r="M163" s="3">
        <v>0.06</v>
      </c>
      <c r="N163" s="2">
        <v>2798.1</v>
      </c>
    </row>
    <row r="164" spans="1:14" x14ac:dyDescent="0.3">
      <c r="A164" t="s">
        <v>2139</v>
      </c>
      <c r="B164" s="1">
        <v>44965</v>
      </c>
      <c r="C164" t="s">
        <v>388</v>
      </c>
      <c r="D164" t="s">
        <v>85</v>
      </c>
      <c r="E164" t="s">
        <v>26</v>
      </c>
      <c r="F164" t="s">
        <v>40</v>
      </c>
      <c r="G164" t="s">
        <v>41</v>
      </c>
      <c r="H164" t="s">
        <v>42</v>
      </c>
      <c r="I164" t="s">
        <v>29</v>
      </c>
      <c r="J164" t="s">
        <v>30</v>
      </c>
      <c r="K164" s="2">
        <v>48378.63</v>
      </c>
      <c r="L164" s="4">
        <v>5</v>
      </c>
      <c r="M164" s="3">
        <v>0</v>
      </c>
      <c r="N164" s="2">
        <v>4837.8599999999997</v>
      </c>
    </row>
    <row r="165" spans="1:14" x14ac:dyDescent="0.3">
      <c r="A165" t="s">
        <v>1905</v>
      </c>
      <c r="B165" s="1">
        <v>44965</v>
      </c>
      <c r="C165" t="s">
        <v>739</v>
      </c>
      <c r="D165" t="s">
        <v>25</v>
      </c>
      <c r="E165" t="s">
        <v>17</v>
      </c>
      <c r="F165" t="s">
        <v>46</v>
      </c>
      <c r="G165" t="s">
        <v>46</v>
      </c>
      <c r="H165" t="s">
        <v>47</v>
      </c>
      <c r="I165" t="s">
        <v>29</v>
      </c>
      <c r="J165" t="s">
        <v>22</v>
      </c>
      <c r="K165" s="2">
        <v>17192.2</v>
      </c>
      <c r="L165" s="4">
        <v>10</v>
      </c>
      <c r="M165" s="3">
        <v>0.05</v>
      </c>
      <c r="N165" s="2">
        <v>1289.42</v>
      </c>
    </row>
    <row r="166" spans="1:14" x14ac:dyDescent="0.3">
      <c r="A166" t="s">
        <v>2001</v>
      </c>
      <c r="B166" s="1">
        <v>44966</v>
      </c>
      <c r="C166" t="s">
        <v>726</v>
      </c>
      <c r="D166" t="s">
        <v>16</v>
      </c>
      <c r="E166" t="s">
        <v>51</v>
      </c>
      <c r="F166" t="s">
        <v>46</v>
      </c>
      <c r="G166" t="s">
        <v>46</v>
      </c>
      <c r="H166" t="s">
        <v>47</v>
      </c>
      <c r="I166" t="s">
        <v>43</v>
      </c>
      <c r="J166" t="s">
        <v>30</v>
      </c>
      <c r="K166" s="2">
        <v>20727.68</v>
      </c>
      <c r="L166" s="4">
        <v>2</v>
      </c>
      <c r="M166" s="3">
        <v>0.23</v>
      </c>
      <c r="N166" s="2">
        <v>-310.92</v>
      </c>
    </row>
    <row r="167" spans="1:14" x14ac:dyDescent="0.3">
      <c r="A167" t="s">
        <v>2211</v>
      </c>
      <c r="B167" s="1">
        <v>44966</v>
      </c>
      <c r="C167" t="s">
        <v>700</v>
      </c>
      <c r="D167" t="s">
        <v>85</v>
      </c>
      <c r="E167" t="s">
        <v>51</v>
      </c>
      <c r="F167" t="s">
        <v>40</v>
      </c>
      <c r="G167" t="s">
        <v>41</v>
      </c>
      <c r="H167" t="s">
        <v>42</v>
      </c>
      <c r="I167" t="s">
        <v>43</v>
      </c>
      <c r="J167" t="s">
        <v>54</v>
      </c>
      <c r="K167" s="2">
        <v>25524.7</v>
      </c>
      <c r="L167" s="4">
        <v>6</v>
      </c>
      <c r="M167" s="3">
        <v>0.18</v>
      </c>
      <c r="N167" s="2">
        <v>255.25</v>
      </c>
    </row>
    <row r="168" spans="1:14" x14ac:dyDescent="0.3">
      <c r="A168" t="s">
        <v>1222</v>
      </c>
      <c r="B168" s="1">
        <v>44966</v>
      </c>
      <c r="C168" t="s">
        <v>278</v>
      </c>
      <c r="D168" t="s">
        <v>16</v>
      </c>
      <c r="E168" t="s">
        <v>51</v>
      </c>
      <c r="F168" t="s">
        <v>34</v>
      </c>
      <c r="G168" t="s">
        <v>35</v>
      </c>
      <c r="H168" t="s">
        <v>36</v>
      </c>
      <c r="I168" t="s">
        <v>29</v>
      </c>
      <c r="J168" t="s">
        <v>54</v>
      </c>
      <c r="K168" s="2">
        <v>7036</v>
      </c>
      <c r="L168" s="4">
        <v>2</v>
      </c>
      <c r="M168" s="3">
        <v>0.25</v>
      </c>
      <c r="N168" s="2">
        <v>-175.9</v>
      </c>
    </row>
    <row r="169" spans="1:14" x14ac:dyDescent="0.3">
      <c r="A169" t="s">
        <v>1434</v>
      </c>
      <c r="B169" s="1">
        <v>44967</v>
      </c>
      <c r="C169" t="s">
        <v>1435</v>
      </c>
      <c r="D169" t="s">
        <v>85</v>
      </c>
      <c r="E169" t="s">
        <v>17</v>
      </c>
      <c r="F169" t="s">
        <v>27</v>
      </c>
      <c r="G169" t="s">
        <v>28</v>
      </c>
      <c r="H169" t="s">
        <v>20</v>
      </c>
      <c r="I169" t="s">
        <v>21</v>
      </c>
      <c r="J169" t="s">
        <v>106</v>
      </c>
      <c r="K169" s="2">
        <v>35085.53</v>
      </c>
      <c r="L169" s="4">
        <v>5</v>
      </c>
      <c r="M169" s="3">
        <v>0.2</v>
      </c>
      <c r="N169" s="2">
        <v>0</v>
      </c>
    </row>
    <row r="170" spans="1:14" x14ac:dyDescent="0.3">
      <c r="A170" t="s">
        <v>1531</v>
      </c>
      <c r="B170" s="1">
        <v>44967</v>
      </c>
      <c r="C170" t="s">
        <v>736</v>
      </c>
      <c r="D170" t="s">
        <v>25</v>
      </c>
      <c r="E170" t="s">
        <v>26</v>
      </c>
      <c r="F170" t="s">
        <v>34</v>
      </c>
      <c r="G170" t="s">
        <v>35</v>
      </c>
      <c r="H170" t="s">
        <v>36</v>
      </c>
      <c r="I170" t="s">
        <v>21</v>
      </c>
      <c r="J170" t="s">
        <v>64</v>
      </c>
      <c r="K170" s="2">
        <v>36375.32</v>
      </c>
      <c r="L170" s="4">
        <v>9</v>
      </c>
      <c r="M170" s="3">
        <v>0.03</v>
      </c>
      <c r="N170" s="2">
        <v>3091.9</v>
      </c>
    </row>
    <row r="171" spans="1:14" x14ac:dyDescent="0.3">
      <c r="A171" t="s">
        <v>131</v>
      </c>
      <c r="B171" s="1">
        <v>44967</v>
      </c>
      <c r="C171" t="s">
        <v>132</v>
      </c>
      <c r="D171" t="s">
        <v>50</v>
      </c>
      <c r="E171" t="s">
        <v>17</v>
      </c>
      <c r="F171" t="s">
        <v>18</v>
      </c>
      <c r="G171" t="s">
        <v>19</v>
      </c>
      <c r="H171" t="s">
        <v>20</v>
      </c>
      <c r="I171" t="s">
        <v>43</v>
      </c>
      <c r="J171" t="s">
        <v>58</v>
      </c>
      <c r="K171" s="2">
        <v>26096.16</v>
      </c>
      <c r="L171" s="4">
        <v>2</v>
      </c>
      <c r="M171" s="3">
        <v>0.1</v>
      </c>
      <c r="N171" s="2">
        <v>1304.81</v>
      </c>
    </row>
    <row r="172" spans="1:14" x14ac:dyDescent="0.3">
      <c r="A172" t="s">
        <v>392</v>
      </c>
      <c r="B172" s="1">
        <v>44967</v>
      </c>
      <c r="C172" t="s">
        <v>393</v>
      </c>
      <c r="D172" t="s">
        <v>57</v>
      </c>
      <c r="E172" t="s">
        <v>51</v>
      </c>
      <c r="F172" t="s">
        <v>79</v>
      </c>
      <c r="G172" t="s">
        <v>80</v>
      </c>
      <c r="H172" t="s">
        <v>47</v>
      </c>
      <c r="I172" t="s">
        <v>21</v>
      </c>
      <c r="J172" t="s">
        <v>54</v>
      </c>
      <c r="K172" s="2">
        <v>32576.27</v>
      </c>
      <c r="L172" s="4">
        <v>2</v>
      </c>
      <c r="M172" s="3">
        <v>0.16</v>
      </c>
      <c r="N172" s="2">
        <v>651.53</v>
      </c>
    </row>
    <row r="173" spans="1:14" x14ac:dyDescent="0.3">
      <c r="A173" t="s">
        <v>474</v>
      </c>
      <c r="B173" s="1">
        <v>44968</v>
      </c>
      <c r="C173" t="s">
        <v>475</v>
      </c>
      <c r="D173" t="s">
        <v>61</v>
      </c>
      <c r="E173" t="s">
        <v>26</v>
      </c>
      <c r="F173" t="s">
        <v>34</v>
      </c>
      <c r="G173" t="s">
        <v>35</v>
      </c>
      <c r="H173" t="s">
        <v>36</v>
      </c>
      <c r="I173" t="s">
        <v>43</v>
      </c>
      <c r="J173" t="s">
        <v>58</v>
      </c>
      <c r="K173" s="2">
        <v>37775.69</v>
      </c>
      <c r="L173" s="4">
        <v>2</v>
      </c>
      <c r="M173" s="3">
        <v>0.08</v>
      </c>
      <c r="N173" s="2">
        <v>2266.54</v>
      </c>
    </row>
    <row r="174" spans="1:14" x14ac:dyDescent="0.3">
      <c r="A174" t="s">
        <v>584</v>
      </c>
      <c r="B174" s="1">
        <v>44968</v>
      </c>
      <c r="C174" t="s">
        <v>585</v>
      </c>
      <c r="D174" t="s">
        <v>33</v>
      </c>
      <c r="E174" t="s">
        <v>26</v>
      </c>
      <c r="F174" t="s">
        <v>18</v>
      </c>
      <c r="G174" t="s">
        <v>19</v>
      </c>
      <c r="H174" t="s">
        <v>20</v>
      </c>
      <c r="I174" t="s">
        <v>43</v>
      </c>
      <c r="J174" t="s">
        <v>22</v>
      </c>
      <c r="K174" s="2">
        <v>40816.449999999997</v>
      </c>
      <c r="L174" s="4">
        <v>2</v>
      </c>
      <c r="M174" s="3">
        <v>0.09</v>
      </c>
      <c r="N174" s="2">
        <v>2244.9</v>
      </c>
    </row>
    <row r="175" spans="1:14" x14ac:dyDescent="0.3">
      <c r="A175" t="s">
        <v>875</v>
      </c>
      <c r="B175" s="1">
        <v>44968</v>
      </c>
      <c r="C175" t="s">
        <v>503</v>
      </c>
      <c r="D175" t="s">
        <v>33</v>
      </c>
      <c r="E175" t="s">
        <v>17</v>
      </c>
      <c r="F175" t="s">
        <v>40</v>
      </c>
      <c r="G175" t="s">
        <v>41</v>
      </c>
      <c r="H175" t="s">
        <v>42</v>
      </c>
      <c r="I175" t="s">
        <v>43</v>
      </c>
      <c r="J175" t="s">
        <v>37</v>
      </c>
      <c r="K175" s="2">
        <v>42699.08</v>
      </c>
      <c r="L175" s="4">
        <v>2</v>
      </c>
      <c r="M175" s="3">
        <v>0.16</v>
      </c>
      <c r="N175" s="2">
        <v>853.98</v>
      </c>
    </row>
    <row r="176" spans="1:14" x14ac:dyDescent="0.3">
      <c r="A176" t="s">
        <v>1742</v>
      </c>
      <c r="B176" s="1">
        <v>44968</v>
      </c>
      <c r="C176" t="s">
        <v>1743</v>
      </c>
      <c r="D176" t="s">
        <v>16</v>
      </c>
      <c r="E176" t="s">
        <v>17</v>
      </c>
      <c r="F176" t="s">
        <v>34</v>
      </c>
      <c r="G176" t="s">
        <v>35</v>
      </c>
      <c r="H176" t="s">
        <v>36</v>
      </c>
      <c r="I176" t="s">
        <v>29</v>
      </c>
      <c r="J176" t="s">
        <v>64</v>
      </c>
      <c r="K176" s="2">
        <v>10296.66</v>
      </c>
      <c r="L176" s="4">
        <v>10</v>
      </c>
      <c r="M176" s="3">
        <v>0</v>
      </c>
      <c r="N176" s="2">
        <v>1029.67</v>
      </c>
    </row>
    <row r="177" spans="1:14" x14ac:dyDescent="0.3">
      <c r="A177" t="s">
        <v>707</v>
      </c>
      <c r="B177" s="1">
        <v>44968</v>
      </c>
      <c r="C177" t="s">
        <v>708</v>
      </c>
      <c r="D177" t="s">
        <v>85</v>
      </c>
      <c r="E177" t="s">
        <v>51</v>
      </c>
      <c r="F177" t="s">
        <v>34</v>
      </c>
      <c r="G177" t="s">
        <v>35</v>
      </c>
      <c r="H177" t="s">
        <v>36</v>
      </c>
      <c r="I177" t="s">
        <v>43</v>
      </c>
      <c r="J177" t="s">
        <v>64</v>
      </c>
      <c r="K177" s="2">
        <v>22765.599999999999</v>
      </c>
      <c r="L177" s="4">
        <v>3</v>
      </c>
      <c r="M177" s="3">
        <v>0.25</v>
      </c>
      <c r="N177" s="2">
        <v>-569.14</v>
      </c>
    </row>
    <row r="178" spans="1:14" x14ac:dyDescent="0.3">
      <c r="A178" t="s">
        <v>586</v>
      </c>
      <c r="B178" s="1">
        <v>44968</v>
      </c>
      <c r="C178" t="s">
        <v>587</v>
      </c>
      <c r="D178" t="s">
        <v>16</v>
      </c>
      <c r="E178" t="s">
        <v>26</v>
      </c>
      <c r="F178" t="s">
        <v>40</v>
      </c>
      <c r="G178" t="s">
        <v>41</v>
      </c>
      <c r="H178" t="s">
        <v>42</v>
      </c>
      <c r="I178" t="s">
        <v>21</v>
      </c>
      <c r="J178" t="s">
        <v>58</v>
      </c>
      <c r="K178" s="2">
        <v>31037.82</v>
      </c>
      <c r="L178" s="4">
        <v>2</v>
      </c>
      <c r="M178" s="3">
        <v>0.18</v>
      </c>
      <c r="N178" s="2">
        <v>310.38</v>
      </c>
    </row>
    <row r="179" spans="1:14" x14ac:dyDescent="0.3">
      <c r="A179" t="s">
        <v>445</v>
      </c>
      <c r="B179" s="1">
        <v>44969</v>
      </c>
      <c r="C179" t="s">
        <v>446</v>
      </c>
      <c r="D179" t="s">
        <v>61</v>
      </c>
      <c r="E179" t="s">
        <v>26</v>
      </c>
      <c r="F179" t="s">
        <v>34</v>
      </c>
      <c r="G179" t="s">
        <v>35</v>
      </c>
      <c r="H179" t="s">
        <v>36</v>
      </c>
      <c r="I179" t="s">
        <v>29</v>
      </c>
      <c r="J179" t="s">
        <v>54</v>
      </c>
      <c r="K179" s="2">
        <v>43584.56</v>
      </c>
      <c r="L179" s="4">
        <v>10</v>
      </c>
      <c r="M179" s="3">
        <v>0.27</v>
      </c>
      <c r="N179" s="2">
        <v>-1525.46</v>
      </c>
    </row>
    <row r="180" spans="1:14" x14ac:dyDescent="0.3">
      <c r="A180" t="s">
        <v>494</v>
      </c>
      <c r="B180" s="1">
        <v>44970</v>
      </c>
      <c r="C180" t="s">
        <v>495</v>
      </c>
      <c r="D180" t="s">
        <v>57</v>
      </c>
      <c r="E180" t="s">
        <v>51</v>
      </c>
      <c r="F180" t="s">
        <v>18</v>
      </c>
      <c r="G180" t="s">
        <v>19</v>
      </c>
      <c r="H180" t="s">
        <v>20</v>
      </c>
      <c r="I180" t="s">
        <v>43</v>
      </c>
      <c r="J180" t="s">
        <v>58</v>
      </c>
      <c r="K180" s="2">
        <v>14943.57</v>
      </c>
      <c r="L180" s="4">
        <v>1</v>
      </c>
      <c r="M180" s="3">
        <v>0.18</v>
      </c>
      <c r="N180" s="2">
        <v>149.44</v>
      </c>
    </row>
    <row r="181" spans="1:14" x14ac:dyDescent="0.3">
      <c r="A181" t="s">
        <v>352</v>
      </c>
      <c r="B181" s="1">
        <v>44971</v>
      </c>
      <c r="C181" t="s">
        <v>353</v>
      </c>
      <c r="D181" t="s">
        <v>16</v>
      </c>
      <c r="E181" t="s">
        <v>26</v>
      </c>
      <c r="F181" t="s">
        <v>27</v>
      </c>
      <c r="G181" t="s">
        <v>28</v>
      </c>
      <c r="H181" t="s">
        <v>20</v>
      </c>
      <c r="I181" t="s">
        <v>21</v>
      </c>
      <c r="J181" t="s">
        <v>106</v>
      </c>
      <c r="K181" s="2">
        <v>38096.31</v>
      </c>
      <c r="L181" s="4">
        <v>4</v>
      </c>
      <c r="M181" s="3">
        <v>0.12</v>
      </c>
      <c r="N181" s="2">
        <v>1523.85</v>
      </c>
    </row>
    <row r="182" spans="1:14" x14ac:dyDescent="0.3">
      <c r="A182" t="s">
        <v>1160</v>
      </c>
      <c r="B182" s="1">
        <v>44971</v>
      </c>
      <c r="C182" t="s">
        <v>103</v>
      </c>
      <c r="D182" t="s">
        <v>25</v>
      </c>
      <c r="E182" t="s">
        <v>26</v>
      </c>
      <c r="F182" t="s">
        <v>18</v>
      </c>
      <c r="G182" t="s">
        <v>19</v>
      </c>
      <c r="H182" t="s">
        <v>20</v>
      </c>
      <c r="I182" t="s">
        <v>43</v>
      </c>
      <c r="J182" t="s">
        <v>30</v>
      </c>
      <c r="K182" s="2">
        <v>8604.8799999999992</v>
      </c>
      <c r="L182" s="4">
        <v>2</v>
      </c>
      <c r="M182" s="3">
        <v>0.03</v>
      </c>
      <c r="N182" s="2">
        <v>731.41</v>
      </c>
    </row>
    <row r="183" spans="1:14" x14ac:dyDescent="0.3">
      <c r="A183" t="s">
        <v>1204</v>
      </c>
      <c r="B183" s="1">
        <v>44971</v>
      </c>
      <c r="C183" t="s">
        <v>1205</v>
      </c>
      <c r="D183" t="s">
        <v>61</v>
      </c>
      <c r="E183" t="s">
        <v>51</v>
      </c>
      <c r="F183" t="s">
        <v>34</v>
      </c>
      <c r="G183" t="s">
        <v>35</v>
      </c>
      <c r="H183" t="s">
        <v>36</v>
      </c>
      <c r="I183" t="s">
        <v>21</v>
      </c>
      <c r="J183" t="s">
        <v>22</v>
      </c>
      <c r="K183" s="2">
        <v>11465.54</v>
      </c>
      <c r="L183" s="4">
        <v>3</v>
      </c>
      <c r="M183" s="3">
        <v>0.01</v>
      </c>
      <c r="N183" s="2">
        <v>1089.23</v>
      </c>
    </row>
    <row r="184" spans="1:14" x14ac:dyDescent="0.3">
      <c r="A184" t="s">
        <v>1330</v>
      </c>
      <c r="B184" s="1">
        <v>44971</v>
      </c>
      <c r="C184" t="s">
        <v>589</v>
      </c>
      <c r="D184" t="s">
        <v>25</v>
      </c>
      <c r="E184" t="s">
        <v>26</v>
      </c>
      <c r="F184" t="s">
        <v>18</v>
      </c>
      <c r="G184" t="s">
        <v>19</v>
      </c>
      <c r="H184" t="s">
        <v>20</v>
      </c>
      <c r="I184" t="s">
        <v>21</v>
      </c>
      <c r="J184" t="s">
        <v>22</v>
      </c>
      <c r="K184" s="2">
        <v>31110.85</v>
      </c>
      <c r="L184" s="4">
        <v>3</v>
      </c>
      <c r="M184" s="3">
        <v>0.13</v>
      </c>
      <c r="N184" s="2">
        <v>1088.8800000000001</v>
      </c>
    </row>
    <row r="185" spans="1:14" x14ac:dyDescent="0.3">
      <c r="A185" t="s">
        <v>1436</v>
      </c>
      <c r="B185" s="1">
        <v>44971</v>
      </c>
      <c r="C185" t="s">
        <v>893</v>
      </c>
      <c r="D185" t="s">
        <v>85</v>
      </c>
      <c r="E185" t="s">
        <v>51</v>
      </c>
      <c r="F185" t="s">
        <v>79</v>
      </c>
      <c r="G185" t="s">
        <v>80</v>
      </c>
      <c r="H185" t="s">
        <v>47</v>
      </c>
      <c r="I185" t="s">
        <v>43</v>
      </c>
      <c r="J185" t="s">
        <v>22</v>
      </c>
      <c r="K185" s="2">
        <v>14880.97</v>
      </c>
      <c r="L185" s="4">
        <v>4</v>
      </c>
      <c r="M185" s="3">
        <v>0.14000000000000001</v>
      </c>
      <c r="N185" s="2">
        <v>446.43</v>
      </c>
    </row>
    <row r="186" spans="1:14" x14ac:dyDescent="0.3">
      <c r="A186" t="s">
        <v>1658</v>
      </c>
      <c r="B186" s="1">
        <v>44971</v>
      </c>
      <c r="C186" t="s">
        <v>1561</v>
      </c>
      <c r="D186" t="s">
        <v>16</v>
      </c>
      <c r="E186" t="s">
        <v>26</v>
      </c>
      <c r="F186" t="s">
        <v>79</v>
      </c>
      <c r="G186" t="s">
        <v>80</v>
      </c>
      <c r="H186" t="s">
        <v>47</v>
      </c>
      <c r="I186" t="s">
        <v>21</v>
      </c>
      <c r="J186" t="s">
        <v>37</v>
      </c>
      <c r="K186" s="2">
        <v>49444.01</v>
      </c>
      <c r="L186" s="4">
        <v>4</v>
      </c>
      <c r="M186" s="3">
        <v>0.28000000000000003</v>
      </c>
      <c r="N186" s="2">
        <v>-1977.76</v>
      </c>
    </row>
    <row r="187" spans="1:14" x14ac:dyDescent="0.3">
      <c r="A187" t="s">
        <v>1872</v>
      </c>
      <c r="B187" s="1">
        <v>44971</v>
      </c>
      <c r="C187" t="s">
        <v>1725</v>
      </c>
      <c r="D187" t="s">
        <v>57</v>
      </c>
      <c r="E187" t="s">
        <v>26</v>
      </c>
      <c r="F187" t="s">
        <v>46</v>
      </c>
      <c r="G187" t="s">
        <v>46</v>
      </c>
      <c r="H187" t="s">
        <v>47</v>
      </c>
      <c r="I187" t="s">
        <v>29</v>
      </c>
      <c r="J187" t="s">
        <v>64</v>
      </c>
      <c r="K187" s="2">
        <v>15337.01</v>
      </c>
      <c r="L187" s="4">
        <v>9</v>
      </c>
      <c r="M187" s="3">
        <v>7.0000000000000007E-2</v>
      </c>
      <c r="N187" s="2">
        <v>996.91</v>
      </c>
    </row>
    <row r="188" spans="1:14" x14ac:dyDescent="0.3">
      <c r="A188" t="s">
        <v>2147</v>
      </c>
      <c r="B188" s="1">
        <v>44972</v>
      </c>
      <c r="C188" t="s">
        <v>166</v>
      </c>
      <c r="D188" t="s">
        <v>57</v>
      </c>
      <c r="E188" t="s">
        <v>26</v>
      </c>
      <c r="F188" t="s">
        <v>27</v>
      </c>
      <c r="G188" t="s">
        <v>28</v>
      </c>
      <c r="H188" t="s">
        <v>20</v>
      </c>
      <c r="I188" t="s">
        <v>21</v>
      </c>
      <c r="J188" t="s">
        <v>30</v>
      </c>
      <c r="K188" s="2">
        <v>40585.39</v>
      </c>
      <c r="L188" s="4">
        <v>3</v>
      </c>
      <c r="M188" s="3">
        <v>7.0000000000000007E-2</v>
      </c>
      <c r="N188" s="2">
        <v>2638.05</v>
      </c>
    </row>
    <row r="189" spans="1:14" x14ac:dyDescent="0.3">
      <c r="A189" t="s">
        <v>2222</v>
      </c>
      <c r="B189" s="1">
        <v>44972</v>
      </c>
      <c r="C189" t="s">
        <v>1013</v>
      </c>
      <c r="D189" t="s">
        <v>16</v>
      </c>
      <c r="E189" t="s">
        <v>26</v>
      </c>
      <c r="F189" t="s">
        <v>79</v>
      </c>
      <c r="G189" t="s">
        <v>80</v>
      </c>
      <c r="H189" t="s">
        <v>47</v>
      </c>
      <c r="I189" t="s">
        <v>29</v>
      </c>
      <c r="J189" t="s">
        <v>64</v>
      </c>
      <c r="K189" s="2">
        <v>19563.830000000002</v>
      </c>
      <c r="L189" s="4">
        <v>2</v>
      </c>
      <c r="M189" s="3">
        <v>0.09</v>
      </c>
      <c r="N189" s="2">
        <v>1076.01</v>
      </c>
    </row>
    <row r="190" spans="1:14" x14ac:dyDescent="0.3">
      <c r="A190" t="s">
        <v>1924</v>
      </c>
      <c r="B190" s="1">
        <v>44973</v>
      </c>
      <c r="C190" t="s">
        <v>188</v>
      </c>
      <c r="D190" t="s">
        <v>33</v>
      </c>
      <c r="E190" t="s">
        <v>17</v>
      </c>
      <c r="F190" t="s">
        <v>46</v>
      </c>
      <c r="G190" t="s">
        <v>46</v>
      </c>
      <c r="H190" t="s">
        <v>47</v>
      </c>
      <c r="I190" t="s">
        <v>29</v>
      </c>
      <c r="J190" t="s">
        <v>64</v>
      </c>
      <c r="K190" s="2">
        <v>5628.43</v>
      </c>
      <c r="L190" s="4">
        <v>5</v>
      </c>
      <c r="M190" s="3">
        <v>0.09</v>
      </c>
      <c r="N190" s="2">
        <v>309.56</v>
      </c>
    </row>
    <row r="191" spans="1:14" x14ac:dyDescent="0.3">
      <c r="A191" t="s">
        <v>1080</v>
      </c>
      <c r="B191" s="1">
        <v>44973</v>
      </c>
      <c r="C191" t="s">
        <v>1081</v>
      </c>
      <c r="D191" t="s">
        <v>25</v>
      </c>
      <c r="E191" t="s">
        <v>26</v>
      </c>
      <c r="F191" t="s">
        <v>40</v>
      </c>
      <c r="G191" t="s">
        <v>41</v>
      </c>
      <c r="H191" t="s">
        <v>42</v>
      </c>
      <c r="I191" t="s">
        <v>29</v>
      </c>
      <c r="J191" t="s">
        <v>58</v>
      </c>
      <c r="K191" s="2">
        <v>49736.38</v>
      </c>
      <c r="L191" s="4">
        <v>1</v>
      </c>
      <c r="M191" s="3">
        <v>0.22</v>
      </c>
      <c r="N191" s="2">
        <v>-497.36</v>
      </c>
    </row>
    <row r="192" spans="1:14" x14ac:dyDescent="0.3">
      <c r="A192" t="s">
        <v>1083</v>
      </c>
      <c r="B192" s="1">
        <v>44974</v>
      </c>
      <c r="C192" t="s">
        <v>1084</v>
      </c>
      <c r="D192" t="s">
        <v>50</v>
      </c>
      <c r="E192" t="s">
        <v>17</v>
      </c>
      <c r="F192" t="s">
        <v>40</v>
      </c>
      <c r="G192" t="s">
        <v>41</v>
      </c>
      <c r="H192" t="s">
        <v>42</v>
      </c>
      <c r="I192" t="s">
        <v>21</v>
      </c>
      <c r="J192" t="s">
        <v>58</v>
      </c>
      <c r="K192" s="2">
        <v>43864.58</v>
      </c>
      <c r="L192" s="4">
        <v>6</v>
      </c>
      <c r="M192" s="3">
        <v>0.1</v>
      </c>
      <c r="N192" s="2">
        <v>2193.23</v>
      </c>
    </row>
    <row r="193" spans="1:14" x14ac:dyDescent="0.3">
      <c r="A193" t="s">
        <v>1169</v>
      </c>
      <c r="B193" s="1">
        <v>44974</v>
      </c>
      <c r="C193" t="s">
        <v>1170</v>
      </c>
      <c r="D193" t="s">
        <v>61</v>
      </c>
      <c r="E193" t="s">
        <v>17</v>
      </c>
      <c r="F193" t="s">
        <v>46</v>
      </c>
      <c r="G193" t="s">
        <v>46</v>
      </c>
      <c r="H193" t="s">
        <v>47</v>
      </c>
      <c r="I193" t="s">
        <v>29</v>
      </c>
      <c r="J193" t="s">
        <v>30</v>
      </c>
      <c r="K193" s="2">
        <v>5512.57</v>
      </c>
      <c r="L193" s="4">
        <v>2</v>
      </c>
      <c r="M193" s="3">
        <v>0.09</v>
      </c>
      <c r="N193" s="2">
        <v>303.19</v>
      </c>
    </row>
    <row r="194" spans="1:14" x14ac:dyDescent="0.3">
      <c r="A194" t="s">
        <v>1194</v>
      </c>
      <c r="B194" s="1">
        <v>44974</v>
      </c>
      <c r="C194" t="s">
        <v>1195</v>
      </c>
      <c r="D194" t="s">
        <v>85</v>
      </c>
      <c r="E194" t="s">
        <v>26</v>
      </c>
      <c r="F194" t="s">
        <v>40</v>
      </c>
      <c r="G194" t="s">
        <v>41</v>
      </c>
      <c r="H194" t="s">
        <v>42</v>
      </c>
      <c r="I194" t="s">
        <v>43</v>
      </c>
      <c r="J194" t="s">
        <v>37</v>
      </c>
      <c r="K194" s="2">
        <v>32441.32</v>
      </c>
      <c r="L194" s="4">
        <v>1</v>
      </c>
      <c r="M194" s="3">
        <v>7.0000000000000007E-2</v>
      </c>
      <c r="N194" s="2">
        <v>2108.69</v>
      </c>
    </row>
    <row r="195" spans="1:14" x14ac:dyDescent="0.3">
      <c r="A195" t="s">
        <v>1653</v>
      </c>
      <c r="B195" s="1">
        <v>44974</v>
      </c>
      <c r="C195" t="s">
        <v>1654</v>
      </c>
      <c r="D195" t="s">
        <v>16</v>
      </c>
      <c r="E195" t="s">
        <v>26</v>
      </c>
      <c r="F195" t="s">
        <v>40</v>
      </c>
      <c r="G195" t="s">
        <v>41</v>
      </c>
      <c r="H195" t="s">
        <v>42</v>
      </c>
      <c r="I195" t="s">
        <v>29</v>
      </c>
      <c r="J195" t="s">
        <v>30</v>
      </c>
      <c r="K195" s="2">
        <v>31716.29</v>
      </c>
      <c r="L195" s="4">
        <v>5</v>
      </c>
      <c r="M195" s="3">
        <v>0.05</v>
      </c>
      <c r="N195" s="2">
        <v>2378.7199999999998</v>
      </c>
    </row>
    <row r="196" spans="1:14" x14ac:dyDescent="0.3">
      <c r="A196" t="s">
        <v>1739</v>
      </c>
      <c r="B196" s="1">
        <v>44974</v>
      </c>
      <c r="C196" t="s">
        <v>1740</v>
      </c>
      <c r="D196" t="s">
        <v>16</v>
      </c>
      <c r="E196" t="s">
        <v>26</v>
      </c>
      <c r="F196" t="s">
        <v>40</v>
      </c>
      <c r="G196" t="s">
        <v>41</v>
      </c>
      <c r="H196" t="s">
        <v>42</v>
      </c>
      <c r="I196" t="s">
        <v>21</v>
      </c>
      <c r="J196" t="s">
        <v>37</v>
      </c>
      <c r="K196" s="2">
        <v>18853.36</v>
      </c>
      <c r="L196" s="4">
        <v>1</v>
      </c>
      <c r="M196" s="3">
        <v>0.02</v>
      </c>
      <c r="N196" s="2">
        <v>1696.8</v>
      </c>
    </row>
    <row r="197" spans="1:14" x14ac:dyDescent="0.3">
      <c r="A197" t="s">
        <v>1339</v>
      </c>
      <c r="B197" s="1">
        <v>44974</v>
      </c>
      <c r="C197" t="s">
        <v>1340</v>
      </c>
      <c r="D197" t="s">
        <v>33</v>
      </c>
      <c r="E197" t="s">
        <v>17</v>
      </c>
      <c r="F197" t="s">
        <v>18</v>
      </c>
      <c r="G197" t="s">
        <v>19</v>
      </c>
      <c r="H197" t="s">
        <v>20</v>
      </c>
      <c r="I197" t="s">
        <v>29</v>
      </c>
      <c r="J197" t="s">
        <v>58</v>
      </c>
      <c r="K197" s="2">
        <v>15409.9</v>
      </c>
      <c r="L197" s="4">
        <v>1</v>
      </c>
      <c r="M197" s="3">
        <v>0.17</v>
      </c>
      <c r="N197" s="2">
        <v>231.15</v>
      </c>
    </row>
    <row r="198" spans="1:14" x14ac:dyDescent="0.3">
      <c r="A198" t="s">
        <v>2202</v>
      </c>
      <c r="B198" s="1">
        <v>44974</v>
      </c>
      <c r="C198" t="s">
        <v>984</v>
      </c>
      <c r="D198" t="s">
        <v>33</v>
      </c>
      <c r="E198" t="s">
        <v>51</v>
      </c>
      <c r="F198" t="s">
        <v>79</v>
      </c>
      <c r="G198" t="s">
        <v>80</v>
      </c>
      <c r="H198" t="s">
        <v>47</v>
      </c>
      <c r="I198" t="s">
        <v>29</v>
      </c>
      <c r="J198" t="s">
        <v>30</v>
      </c>
      <c r="K198" s="2">
        <v>45558.77</v>
      </c>
      <c r="L198" s="4">
        <v>8</v>
      </c>
      <c r="M198" s="3">
        <v>0.2</v>
      </c>
      <c r="N198" s="2">
        <v>0</v>
      </c>
    </row>
    <row r="199" spans="1:14" x14ac:dyDescent="0.3">
      <c r="A199" t="s">
        <v>86</v>
      </c>
      <c r="B199" s="1">
        <v>44975</v>
      </c>
      <c r="C199" t="s">
        <v>87</v>
      </c>
      <c r="D199" t="s">
        <v>16</v>
      </c>
      <c r="E199" t="s">
        <v>17</v>
      </c>
      <c r="F199" t="s">
        <v>18</v>
      </c>
      <c r="G199" t="s">
        <v>19</v>
      </c>
      <c r="H199" t="s">
        <v>20</v>
      </c>
      <c r="I199" t="s">
        <v>29</v>
      </c>
      <c r="J199" t="s">
        <v>22</v>
      </c>
      <c r="K199" s="2">
        <v>8727.39</v>
      </c>
      <c r="L199" s="4">
        <v>6</v>
      </c>
      <c r="M199" s="3">
        <v>0.08</v>
      </c>
      <c r="N199" s="2">
        <v>523.64</v>
      </c>
    </row>
    <row r="200" spans="1:14" x14ac:dyDescent="0.3">
      <c r="A200" t="s">
        <v>626</v>
      </c>
      <c r="B200" s="1">
        <v>44975</v>
      </c>
      <c r="C200" t="s">
        <v>627</v>
      </c>
      <c r="D200" t="s">
        <v>61</v>
      </c>
      <c r="E200" t="s">
        <v>26</v>
      </c>
      <c r="F200" t="s">
        <v>46</v>
      </c>
      <c r="G200" t="s">
        <v>46</v>
      </c>
      <c r="H200" t="s">
        <v>47</v>
      </c>
      <c r="I200" t="s">
        <v>21</v>
      </c>
      <c r="J200" t="s">
        <v>58</v>
      </c>
      <c r="K200" s="2">
        <v>18231.68</v>
      </c>
      <c r="L200" s="4">
        <v>8</v>
      </c>
      <c r="M200" s="3">
        <v>0.23</v>
      </c>
      <c r="N200" s="2">
        <v>-273.48</v>
      </c>
    </row>
    <row r="201" spans="1:14" x14ac:dyDescent="0.3">
      <c r="A201" t="s">
        <v>931</v>
      </c>
      <c r="B201" s="1">
        <v>44975</v>
      </c>
      <c r="C201" t="s">
        <v>553</v>
      </c>
      <c r="D201" t="s">
        <v>33</v>
      </c>
      <c r="E201" t="s">
        <v>17</v>
      </c>
      <c r="F201" t="s">
        <v>46</v>
      </c>
      <c r="G201" t="s">
        <v>46</v>
      </c>
      <c r="H201" t="s">
        <v>47</v>
      </c>
      <c r="I201" t="s">
        <v>21</v>
      </c>
      <c r="J201" t="s">
        <v>37</v>
      </c>
      <c r="K201" s="2">
        <v>49132.87</v>
      </c>
      <c r="L201" s="4">
        <v>3</v>
      </c>
      <c r="M201" s="3">
        <v>0.04</v>
      </c>
      <c r="N201" s="2">
        <v>3930.63</v>
      </c>
    </row>
    <row r="202" spans="1:14" x14ac:dyDescent="0.3">
      <c r="A202" t="s">
        <v>1641</v>
      </c>
      <c r="B202" s="1">
        <v>44975</v>
      </c>
      <c r="C202" t="s">
        <v>198</v>
      </c>
      <c r="D202" t="s">
        <v>57</v>
      </c>
      <c r="E202" t="s">
        <v>26</v>
      </c>
      <c r="F202" t="s">
        <v>79</v>
      </c>
      <c r="G202" t="s">
        <v>80</v>
      </c>
      <c r="H202" t="s">
        <v>47</v>
      </c>
      <c r="I202" t="s">
        <v>21</v>
      </c>
      <c r="J202" t="s">
        <v>54</v>
      </c>
      <c r="K202" s="2">
        <v>32199.07</v>
      </c>
      <c r="L202" s="4">
        <v>10</v>
      </c>
      <c r="M202" s="3">
        <v>0.1</v>
      </c>
      <c r="N202" s="2">
        <v>1609.95</v>
      </c>
    </row>
    <row r="203" spans="1:14" x14ac:dyDescent="0.3">
      <c r="A203" t="s">
        <v>1698</v>
      </c>
      <c r="B203" s="1">
        <v>44975</v>
      </c>
      <c r="C203" t="s">
        <v>495</v>
      </c>
      <c r="D203" t="s">
        <v>33</v>
      </c>
      <c r="E203" t="s">
        <v>17</v>
      </c>
      <c r="F203" t="s">
        <v>34</v>
      </c>
      <c r="G203" t="s">
        <v>35</v>
      </c>
      <c r="H203" t="s">
        <v>36</v>
      </c>
      <c r="I203" t="s">
        <v>29</v>
      </c>
      <c r="J203" t="s">
        <v>37</v>
      </c>
      <c r="K203" s="2">
        <v>16628.099999999999</v>
      </c>
      <c r="L203" s="4">
        <v>4</v>
      </c>
      <c r="M203" s="3">
        <v>0.13</v>
      </c>
      <c r="N203" s="2">
        <v>581.98</v>
      </c>
    </row>
    <row r="204" spans="1:14" x14ac:dyDescent="0.3">
      <c r="A204" t="s">
        <v>833</v>
      </c>
      <c r="B204" s="1">
        <v>44975</v>
      </c>
      <c r="C204" t="s">
        <v>272</v>
      </c>
      <c r="D204" t="s">
        <v>61</v>
      </c>
      <c r="E204" t="s">
        <v>26</v>
      </c>
      <c r="F204" t="s">
        <v>46</v>
      </c>
      <c r="G204" t="s">
        <v>46</v>
      </c>
      <c r="H204" t="s">
        <v>47</v>
      </c>
      <c r="I204" t="s">
        <v>43</v>
      </c>
      <c r="J204" t="s">
        <v>106</v>
      </c>
      <c r="K204" s="2">
        <v>4279.7700000000004</v>
      </c>
      <c r="L204" s="4">
        <v>4</v>
      </c>
      <c r="M204" s="3">
        <v>0.17</v>
      </c>
      <c r="N204" s="2">
        <v>64.2</v>
      </c>
    </row>
    <row r="205" spans="1:14" x14ac:dyDescent="0.3">
      <c r="A205" t="s">
        <v>326</v>
      </c>
      <c r="B205" s="1">
        <v>44975</v>
      </c>
      <c r="C205" t="s">
        <v>327</v>
      </c>
      <c r="D205" t="s">
        <v>33</v>
      </c>
      <c r="E205" t="s">
        <v>26</v>
      </c>
      <c r="F205" t="s">
        <v>46</v>
      </c>
      <c r="G205" t="s">
        <v>46</v>
      </c>
      <c r="H205" t="s">
        <v>47</v>
      </c>
      <c r="I205" t="s">
        <v>21</v>
      </c>
      <c r="J205" t="s">
        <v>58</v>
      </c>
      <c r="K205" s="2">
        <v>14171.63</v>
      </c>
      <c r="L205" s="4">
        <v>2</v>
      </c>
      <c r="M205" s="3">
        <v>0.24</v>
      </c>
      <c r="N205" s="2">
        <v>-283.43</v>
      </c>
    </row>
    <row r="206" spans="1:14" x14ac:dyDescent="0.3">
      <c r="A206" t="s">
        <v>1255</v>
      </c>
      <c r="B206" s="1">
        <v>44975</v>
      </c>
      <c r="C206" t="s">
        <v>1177</v>
      </c>
      <c r="D206" t="s">
        <v>50</v>
      </c>
      <c r="E206" t="s">
        <v>26</v>
      </c>
      <c r="F206" t="s">
        <v>34</v>
      </c>
      <c r="G206" t="s">
        <v>35</v>
      </c>
      <c r="H206" t="s">
        <v>36</v>
      </c>
      <c r="I206" t="s">
        <v>29</v>
      </c>
      <c r="J206" t="s">
        <v>30</v>
      </c>
      <c r="K206" s="2">
        <v>38811.83</v>
      </c>
      <c r="L206" s="4">
        <v>8</v>
      </c>
      <c r="M206" s="3">
        <v>0.28999999999999998</v>
      </c>
      <c r="N206" s="2">
        <v>-1746.53</v>
      </c>
    </row>
    <row r="207" spans="1:14" x14ac:dyDescent="0.3">
      <c r="A207" t="s">
        <v>281</v>
      </c>
      <c r="B207" s="1">
        <v>44975</v>
      </c>
      <c r="C207" t="s">
        <v>282</v>
      </c>
      <c r="D207" t="s">
        <v>33</v>
      </c>
      <c r="E207" t="s">
        <v>17</v>
      </c>
      <c r="F207" t="s">
        <v>46</v>
      </c>
      <c r="G207" t="s">
        <v>46</v>
      </c>
      <c r="H207" t="s">
        <v>47</v>
      </c>
      <c r="I207" t="s">
        <v>29</v>
      </c>
      <c r="J207" t="s">
        <v>54</v>
      </c>
      <c r="K207" s="2">
        <v>2691.79</v>
      </c>
      <c r="L207" s="4">
        <v>5</v>
      </c>
      <c r="M207" s="3">
        <v>0.02</v>
      </c>
      <c r="N207" s="2">
        <v>242.26</v>
      </c>
    </row>
    <row r="208" spans="1:14" x14ac:dyDescent="0.3">
      <c r="A208" t="s">
        <v>389</v>
      </c>
      <c r="B208" s="1">
        <v>44976</v>
      </c>
      <c r="C208" t="s">
        <v>390</v>
      </c>
      <c r="D208" t="s">
        <v>16</v>
      </c>
      <c r="E208" t="s">
        <v>17</v>
      </c>
      <c r="F208" t="s">
        <v>46</v>
      </c>
      <c r="G208" t="s">
        <v>46</v>
      </c>
      <c r="H208" t="s">
        <v>47</v>
      </c>
      <c r="I208" t="s">
        <v>43</v>
      </c>
      <c r="J208" t="s">
        <v>30</v>
      </c>
      <c r="K208" s="2">
        <v>45594.33</v>
      </c>
      <c r="L208" s="4">
        <v>10</v>
      </c>
      <c r="M208" s="3">
        <v>0.28000000000000003</v>
      </c>
      <c r="N208" s="2">
        <v>-1823.77</v>
      </c>
    </row>
    <row r="209" spans="1:14" x14ac:dyDescent="0.3">
      <c r="A209" t="s">
        <v>1005</v>
      </c>
      <c r="B209" s="1">
        <v>44976</v>
      </c>
      <c r="C209" t="s">
        <v>855</v>
      </c>
      <c r="D209" t="s">
        <v>25</v>
      </c>
      <c r="E209" t="s">
        <v>26</v>
      </c>
      <c r="F209" t="s">
        <v>34</v>
      </c>
      <c r="G209" t="s">
        <v>35</v>
      </c>
      <c r="H209" t="s">
        <v>36</v>
      </c>
      <c r="I209" t="s">
        <v>29</v>
      </c>
      <c r="J209" t="s">
        <v>30</v>
      </c>
      <c r="K209" s="2">
        <v>36295.54</v>
      </c>
      <c r="L209" s="4">
        <v>9</v>
      </c>
      <c r="M209" s="3">
        <v>0.12</v>
      </c>
      <c r="N209" s="2">
        <v>1451.82</v>
      </c>
    </row>
    <row r="210" spans="1:14" x14ac:dyDescent="0.3">
      <c r="A210" t="s">
        <v>1472</v>
      </c>
      <c r="B210" s="1">
        <v>44976</v>
      </c>
      <c r="C210" t="s">
        <v>934</v>
      </c>
      <c r="D210" t="s">
        <v>57</v>
      </c>
      <c r="E210" t="s">
        <v>26</v>
      </c>
      <c r="F210" t="s">
        <v>27</v>
      </c>
      <c r="G210" t="s">
        <v>28</v>
      </c>
      <c r="H210" t="s">
        <v>20</v>
      </c>
      <c r="I210" t="s">
        <v>43</v>
      </c>
      <c r="J210" t="s">
        <v>58</v>
      </c>
      <c r="K210" s="2">
        <v>33449.15</v>
      </c>
      <c r="L210" s="4">
        <v>8</v>
      </c>
      <c r="M210" s="3">
        <v>0.15</v>
      </c>
      <c r="N210" s="2">
        <v>836.23</v>
      </c>
    </row>
    <row r="211" spans="1:14" x14ac:dyDescent="0.3">
      <c r="A211" t="s">
        <v>953</v>
      </c>
      <c r="B211" s="1">
        <v>44976</v>
      </c>
      <c r="C211" t="s">
        <v>954</v>
      </c>
      <c r="D211" t="s">
        <v>50</v>
      </c>
      <c r="E211" t="s">
        <v>17</v>
      </c>
      <c r="F211" t="s">
        <v>40</v>
      </c>
      <c r="G211" t="s">
        <v>41</v>
      </c>
      <c r="H211" t="s">
        <v>42</v>
      </c>
      <c r="I211" t="s">
        <v>21</v>
      </c>
      <c r="J211" t="s">
        <v>30</v>
      </c>
      <c r="K211" s="2">
        <v>42998.62</v>
      </c>
      <c r="L211" s="4">
        <v>7</v>
      </c>
      <c r="M211" s="3">
        <v>0.26</v>
      </c>
      <c r="N211" s="2">
        <v>-1289.96</v>
      </c>
    </row>
    <row r="212" spans="1:14" x14ac:dyDescent="0.3">
      <c r="A212" t="s">
        <v>2020</v>
      </c>
      <c r="B212" s="1">
        <v>44976</v>
      </c>
      <c r="C212" t="s">
        <v>453</v>
      </c>
      <c r="D212" t="s">
        <v>50</v>
      </c>
      <c r="E212" t="s">
        <v>51</v>
      </c>
      <c r="F212" t="s">
        <v>18</v>
      </c>
      <c r="G212" t="s">
        <v>19</v>
      </c>
      <c r="H212" t="s">
        <v>20</v>
      </c>
      <c r="I212" t="s">
        <v>21</v>
      </c>
      <c r="J212" t="s">
        <v>64</v>
      </c>
      <c r="K212" s="2">
        <v>947.54</v>
      </c>
      <c r="L212" s="4">
        <v>5</v>
      </c>
      <c r="M212" s="3">
        <v>0.17</v>
      </c>
      <c r="N212" s="2">
        <v>14.21</v>
      </c>
    </row>
    <row r="213" spans="1:14" x14ac:dyDescent="0.3">
      <c r="A213" t="s">
        <v>1951</v>
      </c>
      <c r="B213" s="1">
        <v>44977</v>
      </c>
      <c r="C213" t="s">
        <v>87</v>
      </c>
      <c r="D213" t="s">
        <v>50</v>
      </c>
      <c r="E213" t="s">
        <v>51</v>
      </c>
      <c r="F213" t="s">
        <v>79</v>
      </c>
      <c r="G213" t="s">
        <v>80</v>
      </c>
      <c r="H213" t="s">
        <v>47</v>
      </c>
      <c r="I213" t="s">
        <v>21</v>
      </c>
      <c r="J213" t="s">
        <v>106</v>
      </c>
      <c r="K213" s="2">
        <v>17001.87</v>
      </c>
      <c r="L213" s="4">
        <v>3</v>
      </c>
      <c r="M213" s="3">
        <v>0.18</v>
      </c>
      <c r="N213" s="2">
        <v>170.02</v>
      </c>
    </row>
    <row r="214" spans="1:14" x14ac:dyDescent="0.3">
      <c r="A214" t="s">
        <v>841</v>
      </c>
      <c r="B214" s="1">
        <v>44977</v>
      </c>
      <c r="C214" t="s">
        <v>842</v>
      </c>
      <c r="D214" t="s">
        <v>85</v>
      </c>
      <c r="E214" t="s">
        <v>26</v>
      </c>
      <c r="F214" t="s">
        <v>27</v>
      </c>
      <c r="G214" t="s">
        <v>28</v>
      </c>
      <c r="H214" t="s">
        <v>20</v>
      </c>
      <c r="I214" t="s">
        <v>29</v>
      </c>
      <c r="J214" t="s">
        <v>22</v>
      </c>
      <c r="K214" s="2">
        <v>6140.37</v>
      </c>
      <c r="L214" s="4">
        <v>3</v>
      </c>
      <c r="M214" s="3">
        <v>0.02</v>
      </c>
      <c r="N214" s="2">
        <v>552.63</v>
      </c>
    </row>
    <row r="215" spans="1:14" x14ac:dyDescent="0.3">
      <c r="A215" t="s">
        <v>387</v>
      </c>
      <c r="B215" s="1">
        <v>44978</v>
      </c>
      <c r="C215" t="s">
        <v>388</v>
      </c>
      <c r="D215" t="s">
        <v>50</v>
      </c>
      <c r="E215" t="s">
        <v>51</v>
      </c>
      <c r="F215" t="s">
        <v>34</v>
      </c>
      <c r="G215" t="s">
        <v>35</v>
      </c>
      <c r="H215" t="s">
        <v>36</v>
      </c>
      <c r="I215" t="s">
        <v>29</v>
      </c>
      <c r="J215" t="s">
        <v>37</v>
      </c>
      <c r="K215" s="2">
        <v>13978.86</v>
      </c>
      <c r="L215" s="4">
        <v>8</v>
      </c>
      <c r="M215" s="3">
        <v>0.12</v>
      </c>
      <c r="N215" s="2">
        <v>559.15</v>
      </c>
    </row>
    <row r="216" spans="1:14" x14ac:dyDescent="0.3">
      <c r="A216" t="s">
        <v>1261</v>
      </c>
      <c r="B216" s="1">
        <v>44978</v>
      </c>
      <c r="C216" t="s">
        <v>214</v>
      </c>
      <c r="D216" t="s">
        <v>25</v>
      </c>
      <c r="E216" t="s">
        <v>17</v>
      </c>
      <c r="F216" t="s">
        <v>40</v>
      </c>
      <c r="G216" t="s">
        <v>41</v>
      </c>
      <c r="H216" t="s">
        <v>42</v>
      </c>
      <c r="I216" t="s">
        <v>21</v>
      </c>
      <c r="J216" t="s">
        <v>30</v>
      </c>
      <c r="K216" s="2">
        <v>11763.93</v>
      </c>
      <c r="L216" s="4">
        <v>6</v>
      </c>
      <c r="M216" s="3">
        <v>0.12</v>
      </c>
      <c r="N216" s="2">
        <v>470.56</v>
      </c>
    </row>
    <row r="217" spans="1:14" x14ac:dyDescent="0.3">
      <c r="A217" t="s">
        <v>1815</v>
      </c>
      <c r="B217" s="1">
        <v>44978</v>
      </c>
      <c r="C217" t="s">
        <v>620</v>
      </c>
      <c r="D217" t="s">
        <v>50</v>
      </c>
      <c r="E217" t="s">
        <v>17</v>
      </c>
      <c r="F217" t="s">
        <v>79</v>
      </c>
      <c r="G217" t="s">
        <v>80</v>
      </c>
      <c r="H217" t="s">
        <v>47</v>
      </c>
      <c r="I217" t="s">
        <v>29</v>
      </c>
      <c r="J217" t="s">
        <v>106</v>
      </c>
      <c r="K217" s="2">
        <v>46121.71</v>
      </c>
      <c r="L217" s="4">
        <v>2</v>
      </c>
      <c r="M217" s="3">
        <v>0.02</v>
      </c>
      <c r="N217" s="2">
        <v>4150.95</v>
      </c>
    </row>
    <row r="218" spans="1:14" x14ac:dyDescent="0.3">
      <c r="A218" t="s">
        <v>1956</v>
      </c>
      <c r="B218" s="1">
        <v>44978</v>
      </c>
      <c r="C218" t="s">
        <v>665</v>
      </c>
      <c r="D218" t="s">
        <v>61</v>
      </c>
      <c r="E218" t="s">
        <v>51</v>
      </c>
      <c r="F218" t="s">
        <v>40</v>
      </c>
      <c r="G218" t="s">
        <v>41</v>
      </c>
      <c r="H218" t="s">
        <v>42</v>
      </c>
      <c r="I218" t="s">
        <v>43</v>
      </c>
      <c r="J218" t="s">
        <v>58</v>
      </c>
      <c r="K218" s="2">
        <v>46871.22</v>
      </c>
      <c r="L218" s="4">
        <v>1</v>
      </c>
      <c r="M218" s="3">
        <v>0.22</v>
      </c>
      <c r="N218" s="2">
        <v>-468.71</v>
      </c>
    </row>
    <row r="219" spans="1:14" x14ac:dyDescent="0.3">
      <c r="A219" t="s">
        <v>694</v>
      </c>
      <c r="B219" s="1">
        <v>44978</v>
      </c>
      <c r="C219" t="s">
        <v>695</v>
      </c>
      <c r="D219" t="s">
        <v>61</v>
      </c>
      <c r="E219" t="s">
        <v>51</v>
      </c>
      <c r="F219" t="s">
        <v>46</v>
      </c>
      <c r="G219" t="s">
        <v>46</v>
      </c>
      <c r="H219" t="s">
        <v>47</v>
      </c>
      <c r="I219" t="s">
        <v>21</v>
      </c>
      <c r="J219" t="s">
        <v>64</v>
      </c>
      <c r="K219" s="2">
        <v>807.92</v>
      </c>
      <c r="L219" s="4">
        <v>4</v>
      </c>
      <c r="M219" s="3">
        <v>0.13</v>
      </c>
      <c r="N219" s="2">
        <v>28.28</v>
      </c>
    </row>
    <row r="220" spans="1:14" x14ac:dyDescent="0.3">
      <c r="A220" t="s">
        <v>1565</v>
      </c>
      <c r="B220" s="1">
        <v>44978</v>
      </c>
      <c r="C220" t="s">
        <v>1566</v>
      </c>
      <c r="D220" t="s">
        <v>25</v>
      </c>
      <c r="E220" t="s">
        <v>51</v>
      </c>
      <c r="F220" t="s">
        <v>46</v>
      </c>
      <c r="G220" t="s">
        <v>46</v>
      </c>
      <c r="H220" t="s">
        <v>47</v>
      </c>
      <c r="I220" t="s">
        <v>21</v>
      </c>
      <c r="J220" t="s">
        <v>30</v>
      </c>
      <c r="K220" s="2">
        <v>20341.169999999998</v>
      </c>
      <c r="L220" s="4">
        <v>6</v>
      </c>
      <c r="M220" s="3">
        <v>7.0000000000000007E-2</v>
      </c>
      <c r="N220" s="2">
        <v>1322.18</v>
      </c>
    </row>
    <row r="221" spans="1:14" x14ac:dyDescent="0.3">
      <c r="A221" t="s">
        <v>2012</v>
      </c>
      <c r="B221" s="1">
        <v>44978</v>
      </c>
      <c r="C221" t="s">
        <v>2013</v>
      </c>
      <c r="D221" t="s">
        <v>57</v>
      </c>
      <c r="E221" t="s">
        <v>26</v>
      </c>
      <c r="F221" t="s">
        <v>46</v>
      </c>
      <c r="G221" t="s">
        <v>46</v>
      </c>
      <c r="H221" t="s">
        <v>47</v>
      </c>
      <c r="I221" t="s">
        <v>29</v>
      </c>
      <c r="J221" t="s">
        <v>30</v>
      </c>
      <c r="K221" s="2">
        <v>41503.01</v>
      </c>
      <c r="L221" s="4">
        <v>7</v>
      </c>
      <c r="M221" s="3">
        <v>0.25</v>
      </c>
      <c r="N221" s="2">
        <v>-1037.58</v>
      </c>
    </row>
    <row r="222" spans="1:14" x14ac:dyDescent="0.3">
      <c r="A222" t="s">
        <v>416</v>
      </c>
      <c r="B222" s="1">
        <v>44979</v>
      </c>
      <c r="C222" t="s">
        <v>417</v>
      </c>
      <c r="D222" t="s">
        <v>50</v>
      </c>
      <c r="E222" t="s">
        <v>26</v>
      </c>
      <c r="F222" t="s">
        <v>34</v>
      </c>
      <c r="G222" t="s">
        <v>35</v>
      </c>
      <c r="H222" t="s">
        <v>36</v>
      </c>
      <c r="I222" t="s">
        <v>43</v>
      </c>
      <c r="J222" t="s">
        <v>64</v>
      </c>
      <c r="K222" s="2">
        <v>25830.54</v>
      </c>
      <c r="L222" s="4">
        <v>9</v>
      </c>
      <c r="M222" s="3">
        <v>0.22</v>
      </c>
      <c r="N222" s="2">
        <v>-258.31</v>
      </c>
    </row>
    <row r="223" spans="1:14" x14ac:dyDescent="0.3">
      <c r="A223" t="s">
        <v>1819</v>
      </c>
      <c r="B223" s="1">
        <v>44979</v>
      </c>
      <c r="C223" t="s">
        <v>693</v>
      </c>
      <c r="D223" t="s">
        <v>25</v>
      </c>
      <c r="E223" t="s">
        <v>26</v>
      </c>
      <c r="F223" t="s">
        <v>34</v>
      </c>
      <c r="G223" t="s">
        <v>35</v>
      </c>
      <c r="H223" t="s">
        <v>36</v>
      </c>
      <c r="I223" t="s">
        <v>43</v>
      </c>
      <c r="J223" t="s">
        <v>22</v>
      </c>
      <c r="K223" s="2">
        <v>30387.759999999998</v>
      </c>
      <c r="L223" s="4">
        <v>7</v>
      </c>
      <c r="M223" s="3">
        <v>0.12</v>
      </c>
      <c r="N223" s="2">
        <v>1215.51</v>
      </c>
    </row>
    <row r="224" spans="1:14" x14ac:dyDescent="0.3">
      <c r="A224" t="s">
        <v>1932</v>
      </c>
      <c r="B224" s="1">
        <v>44979</v>
      </c>
      <c r="C224" t="s">
        <v>1881</v>
      </c>
      <c r="D224" t="s">
        <v>61</v>
      </c>
      <c r="E224" t="s">
        <v>17</v>
      </c>
      <c r="F224" t="s">
        <v>46</v>
      </c>
      <c r="G224" t="s">
        <v>46</v>
      </c>
      <c r="H224" t="s">
        <v>47</v>
      </c>
      <c r="I224" t="s">
        <v>29</v>
      </c>
      <c r="J224" t="s">
        <v>54</v>
      </c>
      <c r="K224" s="2">
        <v>31738.14</v>
      </c>
      <c r="L224" s="4">
        <v>4</v>
      </c>
      <c r="M224" s="3">
        <v>0.2</v>
      </c>
      <c r="N224" s="2">
        <v>0</v>
      </c>
    </row>
    <row r="225" spans="1:14" x14ac:dyDescent="0.3">
      <c r="A225" t="s">
        <v>2187</v>
      </c>
      <c r="B225" s="1">
        <v>44979</v>
      </c>
      <c r="C225" t="s">
        <v>2188</v>
      </c>
      <c r="D225" t="s">
        <v>16</v>
      </c>
      <c r="E225" t="s">
        <v>51</v>
      </c>
      <c r="F225" t="s">
        <v>34</v>
      </c>
      <c r="G225" t="s">
        <v>35</v>
      </c>
      <c r="H225" t="s">
        <v>36</v>
      </c>
      <c r="I225" t="s">
        <v>29</v>
      </c>
      <c r="J225" t="s">
        <v>37</v>
      </c>
      <c r="K225" s="2">
        <v>26100.42</v>
      </c>
      <c r="L225" s="4">
        <v>7</v>
      </c>
      <c r="M225" s="3">
        <v>0.03</v>
      </c>
      <c r="N225" s="2">
        <v>2218.54</v>
      </c>
    </row>
    <row r="226" spans="1:14" x14ac:dyDescent="0.3">
      <c r="A226" t="s">
        <v>989</v>
      </c>
      <c r="B226" s="1">
        <v>44980</v>
      </c>
      <c r="C226" t="s">
        <v>348</v>
      </c>
      <c r="D226" t="s">
        <v>16</v>
      </c>
      <c r="E226" t="s">
        <v>26</v>
      </c>
      <c r="F226" t="s">
        <v>34</v>
      </c>
      <c r="G226" t="s">
        <v>35</v>
      </c>
      <c r="H226" t="s">
        <v>36</v>
      </c>
      <c r="I226" t="s">
        <v>43</v>
      </c>
      <c r="J226" t="s">
        <v>54</v>
      </c>
      <c r="K226" s="2">
        <v>34026.51</v>
      </c>
      <c r="L226" s="4">
        <v>9</v>
      </c>
      <c r="M226" s="3">
        <v>0.27</v>
      </c>
      <c r="N226" s="2">
        <v>-1190.93</v>
      </c>
    </row>
    <row r="227" spans="1:14" x14ac:dyDescent="0.3">
      <c r="A227" t="s">
        <v>994</v>
      </c>
      <c r="B227" s="1">
        <v>44980</v>
      </c>
      <c r="C227" t="s">
        <v>721</v>
      </c>
      <c r="D227" t="s">
        <v>33</v>
      </c>
      <c r="E227" t="s">
        <v>17</v>
      </c>
      <c r="F227" t="s">
        <v>40</v>
      </c>
      <c r="G227" t="s">
        <v>41</v>
      </c>
      <c r="H227" t="s">
        <v>42</v>
      </c>
      <c r="I227" t="s">
        <v>29</v>
      </c>
      <c r="J227" t="s">
        <v>64</v>
      </c>
      <c r="K227" s="2">
        <v>19252.73</v>
      </c>
      <c r="L227" s="4">
        <v>2</v>
      </c>
      <c r="M227" s="3">
        <v>0.05</v>
      </c>
      <c r="N227" s="2">
        <v>1443.95</v>
      </c>
    </row>
    <row r="228" spans="1:14" x14ac:dyDescent="0.3">
      <c r="A228" t="s">
        <v>1916</v>
      </c>
      <c r="B228" s="1">
        <v>44980</v>
      </c>
      <c r="C228" t="s">
        <v>887</v>
      </c>
      <c r="D228" t="s">
        <v>50</v>
      </c>
      <c r="E228" t="s">
        <v>17</v>
      </c>
      <c r="F228" t="s">
        <v>34</v>
      </c>
      <c r="G228" t="s">
        <v>35</v>
      </c>
      <c r="H228" t="s">
        <v>36</v>
      </c>
      <c r="I228" t="s">
        <v>43</v>
      </c>
      <c r="J228" t="s">
        <v>54</v>
      </c>
      <c r="K228" s="2">
        <v>36933.440000000002</v>
      </c>
      <c r="L228" s="4">
        <v>6</v>
      </c>
      <c r="M228" s="3">
        <v>0.11</v>
      </c>
      <c r="N228" s="2">
        <v>1662</v>
      </c>
    </row>
    <row r="229" spans="1:14" x14ac:dyDescent="0.3">
      <c r="A229" t="s">
        <v>599</v>
      </c>
      <c r="B229" s="1">
        <v>44980</v>
      </c>
      <c r="C229" t="s">
        <v>118</v>
      </c>
      <c r="D229" t="s">
        <v>33</v>
      </c>
      <c r="E229" t="s">
        <v>17</v>
      </c>
      <c r="F229" t="s">
        <v>79</v>
      </c>
      <c r="G229" t="s">
        <v>80</v>
      </c>
      <c r="H229" t="s">
        <v>47</v>
      </c>
      <c r="I229" t="s">
        <v>43</v>
      </c>
      <c r="J229" t="s">
        <v>37</v>
      </c>
      <c r="K229" s="2">
        <v>48626.46</v>
      </c>
      <c r="L229" s="4">
        <v>8</v>
      </c>
      <c r="M229" s="3">
        <v>0.14000000000000001</v>
      </c>
      <c r="N229" s="2">
        <v>1458.79</v>
      </c>
    </row>
    <row r="230" spans="1:14" x14ac:dyDescent="0.3">
      <c r="A230" t="s">
        <v>1733</v>
      </c>
      <c r="B230" s="1">
        <v>44980</v>
      </c>
      <c r="C230" t="s">
        <v>1734</v>
      </c>
      <c r="D230" t="s">
        <v>16</v>
      </c>
      <c r="E230" t="s">
        <v>17</v>
      </c>
      <c r="F230" t="s">
        <v>27</v>
      </c>
      <c r="G230" t="s">
        <v>28</v>
      </c>
      <c r="H230" t="s">
        <v>20</v>
      </c>
      <c r="I230" t="s">
        <v>21</v>
      </c>
      <c r="J230" t="s">
        <v>54</v>
      </c>
      <c r="K230" s="2">
        <v>48212.61</v>
      </c>
      <c r="L230" s="4">
        <v>6</v>
      </c>
      <c r="M230" s="3">
        <v>0.01</v>
      </c>
      <c r="N230" s="2">
        <v>4580.2</v>
      </c>
    </row>
    <row r="231" spans="1:14" x14ac:dyDescent="0.3">
      <c r="A231" t="s">
        <v>854</v>
      </c>
      <c r="B231" s="1">
        <v>44981</v>
      </c>
      <c r="C231" t="s">
        <v>855</v>
      </c>
      <c r="D231" t="s">
        <v>61</v>
      </c>
      <c r="E231" t="s">
        <v>51</v>
      </c>
      <c r="F231" t="s">
        <v>79</v>
      </c>
      <c r="G231" t="s">
        <v>80</v>
      </c>
      <c r="H231" t="s">
        <v>47</v>
      </c>
      <c r="I231" t="s">
        <v>43</v>
      </c>
      <c r="J231" t="s">
        <v>30</v>
      </c>
      <c r="K231" s="2">
        <v>32066.68</v>
      </c>
      <c r="L231" s="4">
        <v>6</v>
      </c>
      <c r="M231" s="3">
        <v>0.21</v>
      </c>
      <c r="N231" s="2">
        <v>-160.33000000000001</v>
      </c>
    </row>
    <row r="232" spans="1:14" x14ac:dyDescent="0.3">
      <c r="A232" t="s">
        <v>993</v>
      </c>
      <c r="B232" s="1">
        <v>44981</v>
      </c>
      <c r="C232" t="s">
        <v>540</v>
      </c>
      <c r="D232" t="s">
        <v>85</v>
      </c>
      <c r="E232" t="s">
        <v>17</v>
      </c>
      <c r="F232" t="s">
        <v>46</v>
      </c>
      <c r="G232" t="s">
        <v>46</v>
      </c>
      <c r="H232" t="s">
        <v>47</v>
      </c>
      <c r="I232" t="s">
        <v>29</v>
      </c>
      <c r="J232" t="s">
        <v>64</v>
      </c>
      <c r="K232" s="2">
        <v>2244.27</v>
      </c>
      <c r="L232" s="4">
        <v>5</v>
      </c>
      <c r="M232" s="3">
        <v>0.06</v>
      </c>
      <c r="N232" s="2">
        <v>157.1</v>
      </c>
    </row>
    <row r="233" spans="1:14" x14ac:dyDescent="0.3">
      <c r="A233" t="s">
        <v>1341</v>
      </c>
      <c r="B233" s="1">
        <v>44981</v>
      </c>
      <c r="C233" t="s">
        <v>962</v>
      </c>
      <c r="D233" t="s">
        <v>85</v>
      </c>
      <c r="E233" t="s">
        <v>26</v>
      </c>
      <c r="F233" t="s">
        <v>34</v>
      </c>
      <c r="G233" t="s">
        <v>35</v>
      </c>
      <c r="H233" t="s">
        <v>36</v>
      </c>
      <c r="I233" t="s">
        <v>29</v>
      </c>
      <c r="J233" t="s">
        <v>64</v>
      </c>
      <c r="K233" s="2">
        <v>19383.54</v>
      </c>
      <c r="L233" s="4">
        <v>1</v>
      </c>
      <c r="M233" s="3">
        <v>0.12</v>
      </c>
      <c r="N233" s="2">
        <v>775.34</v>
      </c>
    </row>
    <row r="234" spans="1:14" x14ac:dyDescent="0.3">
      <c r="A234" t="s">
        <v>1582</v>
      </c>
      <c r="B234" s="1">
        <v>44981</v>
      </c>
      <c r="C234" t="s">
        <v>1202</v>
      </c>
      <c r="D234" t="s">
        <v>61</v>
      </c>
      <c r="E234" t="s">
        <v>17</v>
      </c>
      <c r="F234" t="s">
        <v>46</v>
      </c>
      <c r="G234" t="s">
        <v>46</v>
      </c>
      <c r="H234" t="s">
        <v>47</v>
      </c>
      <c r="I234" t="s">
        <v>29</v>
      </c>
      <c r="J234" t="s">
        <v>54</v>
      </c>
      <c r="K234" s="2">
        <v>48757.41</v>
      </c>
      <c r="L234" s="4">
        <v>10</v>
      </c>
      <c r="M234" s="3">
        <v>0.21</v>
      </c>
      <c r="N234" s="2">
        <v>-243.79</v>
      </c>
    </row>
    <row r="235" spans="1:14" x14ac:dyDescent="0.3">
      <c r="A235" t="s">
        <v>405</v>
      </c>
      <c r="B235" s="1">
        <v>44982</v>
      </c>
      <c r="C235" t="s">
        <v>406</v>
      </c>
      <c r="D235" t="s">
        <v>61</v>
      </c>
      <c r="E235" t="s">
        <v>51</v>
      </c>
      <c r="F235" t="s">
        <v>18</v>
      </c>
      <c r="G235" t="s">
        <v>19</v>
      </c>
      <c r="H235" t="s">
        <v>20</v>
      </c>
      <c r="I235" t="s">
        <v>43</v>
      </c>
      <c r="J235" t="s">
        <v>64</v>
      </c>
      <c r="K235" s="2">
        <v>25835.4</v>
      </c>
      <c r="L235" s="4">
        <v>6</v>
      </c>
      <c r="M235" s="3">
        <v>0.18</v>
      </c>
      <c r="N235" s="2">
        <v>258.35000000000002</v>
      </c>
    </row>
    <row r="236" spans="1:14" x14ac:dyDescent="0.3">
      <c r="A236" t="s">
        <v>1279</v>
      </c>
      <c r="B236" s="1">
        <v>44982</v>
      </c>
      <c r="C236" t="s">
        <v>182</v>
      </c>
      <c r="D236" t="s">
        <v>16</v>
      </c>
      <c r="E236" t="s">
        <v>17</v>
      </c>
      <c r="F236" t="s">
        <v>34</v>
      </c>
      <c r="G236" t="s">
        <v>35</v>
      </c>
      <c r="H236" t="s">
        <v>36</v>
      </c>
      <c r="I236" t="s">
        <v>43</v>
      </c>
      <c r="J236" t="s">
        <v>37</v>
      </c>
      <c r="K236" s="2">
        <v>37959.79</v>
      </c>
      <c r="L236" s="4">
        <v>7</v>
      </c>
      <c r="M236" s="3">
        <v>0.24</v>
      </c>
      <c r="N236" s="2">
        <v>-759.2</v>
      </c>
    </row>
    <row r="237" spans="1:14" x14ac:dyDescent="0.3">
      <c r="A237" t="s">
        <v>2271</v>
      </c>
      <c r="B237" s="1">
        <v>44982</v>
      </c>
      <c r="C237" t="s">
        <v>2272</v>
      </c>
      <c r="D237" t="s">
        <v>33</v>
      </c>
      <c r="E237" t="s">
        <v>51</v>
      </c>
      <c r="F237" t="s">
        <v>34</v>
      </c>
      <c r="G237" t="s">
        <v>35</v>
      </c>
      <c r="H237" t="s">
        <v>36</v>
      </c>
      <c r="I237" t="s">
        <v>21</v>
      </c>
      <c r="J237" t="s">
        <v>30</v>
      </c>
      <c r="K237" s="2">
        <v>906.5</v>
      </c>
      <c r="L237" s="4">
        <v>5</v>
      </c>
      <c r="M237" s="3">
        <v>0.08</v>
      </c>
      <c r="N237" s="2">
        <v>54.39</v>
      </c>
    </row>
    <row r="238" spans="1:14" x14ac:dyDescent="0.3">
      <c r="A238" t="s">
        <v>1737</v>
      </c>
      <c r="B238" s="1">
        <v>44982</v>
      </c>
      <c r="C238" t="s">
        <v>313</v>
      </c>
      <c r="D238" t="s">
        <v>57</v>
      </c>
      <c r="E238" t="s">
        <v>51</v>
      </c>
      <c r="F238" t="s">
        <v>27</v>
      </c>
      <c r="G238" t="s">
        <v>28</v>
      </c>
      <c r="H238" t="s">
        <v>20</v>
      </c>
      <c r="I238" t="s">
        <v>43</v>
      </c>
      <c r="J238" t="s">
        <v>54</v>
      </c>
      <c r="K238" s="2">
        <v>20278.07</v>
      </c>
      <c r="L238" s="4">
        <v>10</v>
      </c>
      <c r="M238" s="3">
        <v>0.18</v>
      </c>
      <c r="N238" s="2">
        <v>202.78</v>
      </c>
    </row>
    <row r="239" spans="1:14" x14ac:dyDescent="0.3">
      <c r="A239" t="s">
        <v>2054</v>
      </c>
      <c r="B239" s="1">
        <v>44982</v>
      </c>
      <c r="C239" t="s">
        <v>1316</v>
      </c>
      <c r="D239" t="s">
        <v>25</v>
      </c>
      <c r="E239" t="s">
        <v>17</v>
      </c>
      <c r="F239" t="s">
        <v>79</v>
      </c>
      <c r="G239" t="s">
        <v>80</v>
      </c>
      <c r="H239" t="s">
        <v>47</v>
      </c>
      <c r="I239" t="s">
        <v>43</v>
      </c>
      <c r="J239" t="s">
        <v>58</v>
      </c>
      <c r="K239" s="2">
        <v>41060.53</v>
      </c>
      <c r="L239" s="4">
        <v>1</v>
      </c>
      <c r="M239" s="3">
        <v>0.19</v>
      </c>
      <c r="N239" s="2">
        <v>205.3</v>
      </c>
    </row>
    <row r="240" spans="1:14" x14ac:dyDescent="0.3">
      <c r="A240" t="s">
        <v>789</v>
      </c>
      <c r="B240" s="1">
        <v>44983</v>
      </c>
      <c r="C240" t="s">
        <v>790</v>
      </c>
      <c r="D240" t="s">
        <v>33</v>
      </c>
      <c r="E240" t="s">
        <v>26</v>
      </c>
      <c r="F240" t="s">
        <v>18</v>
      </c>
      <c r="G240" t="s">
        <v>19</v>
      </c>
      <c r="H240" t="s">
        <v>20</v>
      </c>
      <c r="I240" t="s">
        <v>21</v>
      </c>
      <c r="J240" t="s">
        <v>22</v>
      </c>
      <c r="K240" s="2">
        <v>48879.91</v>
      </c>
      <c r="L240" s="4">
        <v>3</v>
      </c>
      <c r="M240" s="3">
        <v>0.2</v>
      </c>
      <c r="N240" s="2">
        <v>0</v>
      </c>
    </row>
    <row r="241" spans="1:14" x14ac:dyDescent="0.3">
      <c r="A241" t="s">
        <v>572</v>
      </c>
      <c r="B241" s="1">
        <v>44983</v>
      </c>
      <c r="C241" t="s">
        <v>573</v>
      </c>
      <c r="D241" t="s">
        <v>57</v>
      </c>
      <c r="E241" t="s">
        <v>26</v>
      </c>
      <c r="F241" t="s">
        <v>18</v>
      </c>
      <c r="G241" t="s">
        <v>19</v>
      </c>
      <c r="H241" t="s">
        <v>20</v>
      </c>
      <c r="I241" t="s">
        <v>29</v>
      </c>
      <c r="J241" t="s">
        <v>58</v>
      </c>
      <c r="K241" s="2">
        <v>46310.84</v>
      </c>
      <c r="L241" s="4">
        <v>10</v>
      </c>
      <c r="M241" s="3">
        <v>7.0000000000000007E-2</v>
      </c>
      <c r="N241" s="2">
        <v>3010.2</v>
      </c>
    </row>
    <row r="242" spans="1:14" x14ac:dyDescent="0.3">
      <c r="A242" t="s">
        <v>121</v>
      </c>
      <c r="B242" s="1">
        <v>44984</v>
      </c>
      <c r="C242" t="s">
        <v>122</v>
      </c>
      <c r="D242" t="s">
        <v>33</v>
      </c>
      <c r="E242" t="s">
        <v>51</v>
      </c>
      <c r="F242" t="s">
        <v>46</v>
      </c>
      <c r="G242" t="s">
        <v>46</v>
      </c>
      <c r="H242" t="s">
        <v>47</v>
      </c>
      <c r="I242" t="s">
        <v>43</v>
      </c>
      <c r="J242" t="s">
        <v>22</v>
      </c>
      <c r="K242" s="2">
        <v>49916.47</v>
      </c>
      <c r="L242" s="4">
        <v>2</v>
      </c>
      <c r="M242" s="3">
        <v>0.28999999999999998</v>
      </c>
      <c r="N242" s="2">
        <v>-2246.2399999999998</v>
      </c>
    </row>
    <row r="243" spans="1:14" x14ac:dyDescent="0.3">
      <c r="A243" t="s">
        <v>370</v>
      </c>
      <c r="B243" s="1">
        <v>44984</v>
      </c>
      <c r="C243" t="s">
        <v>371</v>
      </c>
      <c r="D243" t="s">
        <v>33</v>
      </c>
      <c r="E243" t="s">
        <v>26</v>
      </c>
      <c r="F243" t="s">
        <v>27</v>
      </c>
      <c r="G243" t="s">
        <v>28</v>
      </c>
      <c r="H243" t="s">
        <v>20</v>
      </c>
      <c r="I243" t="s">
        <v>29</v>
      </c>
      <c r="J243" t="s">
        <v>64</v>
      </c>
      <c r="K243" s="2">
        <v>8188.53</v>
      </c>
      <c r="L243" s="4">
        <v>10</v>
      </c>
      <c r="M243" s="3">
        <v>0.1</v>
      </c>
      <c r="N243" s="2">
        <v>409.43</v>
      </c>
    </row>
    <row r="244" spans="1:14" x14ac:dyDescent="0.3">
      <c r="A244" t="s">
        <v>839</v>
      </c>
      <c r="B244" s="1">
        <v>44984</v>
      </c>
      <c r="C244" t="s">
        <v>840</v>
      </c>
      <c r="D244" t="s">
        <v>57</v>
      </c>
      <c r="E244" t="s">
        <v>26</v>
      </c>
      <c r="F244" t="s">
        <v>34</v>
      </c>
      <c r="G244" t="s">
        <v>35</v>
      </c>
      <c r="H244" t="s">
        <v>36</v>
      </c>
      <c r="I244" t="s">
        <v>29</v>
      </c>
      <c r="J244" t="s">
        <v>30</v>
      </c>
      <c r="K244" s="2">
        <v>15536.52</v>
      </c>
      <c r="L244" s="4">
        <v>5</v>
      </c>
      <c r="M244" s="3">
        <v>0.23</v>
      </c>
      <c r="N244" s="2">
        <v>-233.05</v>
      </c>
    </row>
    <row r="245" spans="1:14" x14ac:dyDescent="0.3">
      <c r="A245" t="s">
        <v>1092</v>
      </c>
      <c r="B245" s="1">
        <v>44984</v>
      </c>
      <c r="C245" t="s">
        <v>1093</v>
      </c>
      <c r="D245" t="s">
        <v>33</v>
      </c>
      <c r="E245" t="s">
        <v>26</v>
      </c>
      <c r="F245" t="s">
        <v>27</v>
      </c>
      <c r="G245" t="s">
        <v>28</v>
      </c>
      <c r="H245" t="s">
        <v>20</v>
      </c>
      <c r="I245" t="s">
        <v>21</v>
      </c>
      <c r="J245" t="s">
        <v>64</v>
      </c>
      <c r="K245" s="2">
        <v>3251.45</v>
      </c>
      <c r="L245" s="4">
        <v>10</v>
      </c>
      <c r="M245" s="3">
        <v>0.14000000000000001</v>
      </c>
      <c r="N245" s="2">
        <v>97.54</v>
      </c>
    </row>
    <row r="246" spans="1:14" x14ac:dyDescent="0.3">
      <c r="A246" t="s">
        <v>2249</v>
      </c>
      <c r="B246" s="1">
        <v>44984</v>
      </c>
      <c r="C246" t="s">
        <v>1297</v>
      </c>
      <c r="D246" t="s">
        <v>57</v>
      </c>
      <c r="E246" t="s">
        <v>51</v>
      </c>
      <c r="F246" t="s">
        <v>46</v>
      </c>
      <c r="G246" t="s">
        <v>46</v>
      </c>
      <c r="H246" t="s">
        <v>47</v>
      </c>
      <c r="I246" t="s">
        <v>21</v>
      </c>
      <c r="J246" t="s">
        <v>58</v>
      </c>
      <c r="K246" s="2">
        <v>29244.89</v>
      </c>
      <c r="L246" s="4">
        <v>7</v>
      </c>
      <c r="M246" s="3">
        <v>0.13</v>
      </c>
      <c r="N246" s="2">
        <v>1023.57</v>
      </c>
    </row>
    <row r="247" spans="1:14" x14ac:dyDescent="0.3">
      <c r="A247" t="s">
        <v>536</v>
      </c>
      <c r="B247" s="1">
        <v>44984</v>
      </c>
      <c r="C247" t="s">
        <v>93</v>
      </c>
      <c r="D247" t="s">
        <v>33</v>
      </c>
      <c r="E247" t="s">
        <v>26</v>
      </c>
      <c r="F247" t="s">
        <v>18</v>
      </c>
      <c r="G247" t="s">
        <v>19</v>
      </c>
      <c r="H247" t="s">
        <v>20</v>
      </c>
      <c r="I247" t="s">
        <v>43</v>
      </c>
      <c r="J247" t="s">
        <v>54</v>
      </c>
      <c r="K247" s="2">
        <v>20901.96</v>
      </c>
      <c r="L247" s="4">
        <v>6</v>
      </c>
      <c r="M247" s="3">
        <v>0.03</v>
      </c>
      <c r="N247" s="2">
        <v>1776.67</v>
      </c>
    </row>
    <row r="248" spans="1:14" x14ac:dyDescent="0.3">
      <c r="A248" t="s">
        <v>909</v>
      </c>
      <c r="B248" s="1">
        <v>44984</v>
      </c>
      <c r="C248" t="s">
        <v>466</v>
      </c>
      <c r="D248" t="s">
        <v>33</v>
      </c>
      <c r="E248" t="s">
        <v>17</v>
      </c>
      <c r="F248" t="s">
        <v>40</v>
      </c>
      <c r="G248" t="s">
        <v>41</v>
      </c>
      <c r="H248" t="s">
        <v>42</v>
      </c>
      <c r="I248" t="s">
        <v>29</v>
      </c>
      <c r="J248" t="s">
        <v>106</v>
      </c>
      <c r="K248" s="2">
        <v>2030.21</v>
      </c>
      <c r="L248" s="4">
        <v>9</v>
      </c>
      <c r="M248" s="3">
        <v>0.09</v>
      </c>
      <c r="N248" s="2">
        <v>111.66</v>
      </c>
    </row>
    <row r="249" spans="1:14" x14ac:dyDescent="0.3">
      <c r="A249" t="s">
        <v>1986</v>
      </c>
      <c r="B249" s="1">
        <v>44985</v>
      </c>
      <c r="C249" t="s">
        <v>214</v>
      </c>
      <c r="D249" t="s">
        <v>57</v>
      </c>
      <c r="E249" t="s">
        <v>51</v>
      </c>
      <c r="F249" t="s">
        <v>40</v>
      </c>
      <c r="G249" t="s">
        <v>41</v>
      </c>
      <c r="H249" t="s">
        <v>42</v>
      </c>
      <c r="I249" t="s">
        <v>21</v>
      </c>
      <c r="J249" t="s">
        <v>58</v>
      </c>
      <c r="K249" s="2">
        <v>40405.449999999997</v>
      </c>
      <c r="L249" s="4">
        <v>5</v>
      </c>
      <c r="M249" s="3">
        <v>0.16</v>
      </c>
      <c r="N249" s="2">
        <v>808.11</v>
      </c>
    </row>
    <row r="250" spans="1:14" x14ac:dyDescent="0.3">
      <c r="A250" t="s">
        <v>1945</v>
      </c>
      <c r="B250" s="1">
        <v>44985</v>
      </c>
      <c r="C250" t="s">
        <v>1585</v>
      </c>
      <c r="D250" t="s">
        <v>50</v>
      </c>
      <c r="E250" t="s">
        <v>26</v>
      </c>
      <c r="F250" t="s">
        <v>40</v>
      </c>
      <c r="G250" t="s">
        <v>41</v>
      </c>
      <c r="H250" t="s">
        <v>42</v>
      </c>
      <c r="I250" t="s">
        <v>21</v>
      </c>
      <c r="J250" t="s">
        <v>22</v>
      </c>
      <c r="K250" s="2">
        <v>24841.33</v>
      </c>
      <c r="L250" s="4">
        <v>2</v>
      </c>
      <c r="M250" s="3">
        <v>0.21</v>
      </c>
      <c r="N250" s="2">
        <v>-124.21</v>
      </c>
    </row>
    <row r="251" spans="1:14" x14ac:dyDescent="0.3">
      <c r="A251" t="s">
        <v>1643</v>
      </c>
      <c r="B251" s="1">
        <v>44985</v>
      </c>
      <c r="C251" t="s">
        <v>1081</v>
      </c>
      <c r="D251" t="s">
        <v>85</v>
      </c>
      <c r="E251" t="s">
        <v>17</v>
      </c>
      <c r="F251" t="s">
        <v>18</v>
      </c>
      <c r="G251" t="s">
        <v>19</v>
      </c>
      <c r="H251" t="s">
        <v>20</v>
      </c>
      <c r="I251" t="s">
        <v>29</v>
      </c>
      <c r="J251" t="s">
        <v>106</v>
      </c>
      <c r="K251" s="2">
        <v>14079.33</v>
      </c>
      <c r="L251" s="4">
        <v>3</v>
      </c>
      <c r="M251" s="3">
        <v>0.28999999999999998</v>
      </c>
      <c r="N251" s="2">
        <v>-633.57000000000005</v>
      </c>
    </row>
    <row r="252" spans="1:14" x14ac:dyDescent="0.3">
      <c r="A252" t="s">
        <v>689</v>
      </c>
      <c r="B252" s="1">
        <v>44985</v>
      </c>
      <c r="C252" t="s">
        <v>233</v>
      </c>
      <c r="D252" t="s">
        <v>57</v>
      </c>
      <c r="E252" t="s">
        <v>17</v>
      </c>
      <c r="F252" t="s">
        <v>18</v>
      </c>
      <c r="G252" t="s">
        <v>19</v>
      </c>
      <c r="H252" t="s">
        <v>20</v>
      </c>
      <c r="I252" t="s">
        <v>29</v>
      </c>
      <c r="J252" t="s">
        <v>106</v>
      </c>
      <c r="K252" s="2">
        <v>15011.85</v>
      </c>
      <c r="L252" s="4">
        <v>4</v>
      </c>
      <c r="M252" s="3">
        <v>0.28999999999999998</v>
      </c>
      <c r="N252" s="2">
        <v>-675.53</v>
      </c>
    </row>
    <row r="253" spans="1:14" x14ac:dyDescent="0.3">
      <c r="A253" t="s">
        <v>752</v>
      </c>
      <c r="B253" s="1">
        <v>44986</v>
      </c>
      <c r="C253" t="s">
        <v>753</v>
      </c>
      <c r="D253" t="s">
        <v>33</v>
      </c>
      <c r="E253" t="s">
        <v>17</v>
      </c>
      <c r="F253" t="s">
        <v>40</v>
      </c>
      <c r="G253" t="s">
        <v>41</v>
      </c>
      <c r="H253" t="s">
        <v>42</v>
      </c>
      <c r="I253" t="s">
        <v>43</v>
      </c>
      <c r="J253" t="s">
        <v>64</v>
      </c>
      <c r="K253" s="2">
        <v>33118.839999999997</v>
      </c>
      <c r="L253" s="4">
        <v>6</v>
      </c>
      <c r="M253" s="3">
        <v>0.22</v>
      </c>
      <c r="N253" s="2">
        <v>-331.19</v>
      </c>
    </row>
    <row r="254" spans="1:14" x14ac:dyDescent="0.3">
      <c r="A254" t="s">
        <v>1096</v>
      </c>
      <c r="B254" s="1">
        <v>44986</v>
      </c>
      <c r="C254" t="s">
        <v>1097</v>
      </c>
      <c r="D254" t="s">
        <v>50</v>
      </c>
      <c r="E254" t="s">
        <v>17</v>
      </c>
      <c r="F254" t="s">
        <v>18</v>
      </c>
      <c r="G254" t="s">
        <v>19</v>
      </c>
      <c r="H254" t="s">
        <v>20</v>
      </c>
      <c r="I254" t="s">
        <v>21</v>
      </c>
      <c r="J254" t="s">
        <v>58</v>
      </c>
      <c r="K254" s="2">
        <v>33486.92</v>
      </c>
      <c r="L254" s="4">
        <v>8</v>
      </c>
      <c r="M254" s="3">
        <v>0.16</v>
      </c>
      <c r="N254" s="2">
        <v>669.74</v>
      </c>
    </row>
    <row r="255" spans="1:14" x14ac:dyDescent="0.3">
      <c r="A255" t="s">
        <v>886</v>
      </c>
      <c r="B255" s="1">
        <v>44986</v>
      </c>
      <c r="C255" t="s">
        <v>887</v>
      </c>
      <c r="D255" t="s">
        <v>16</v>
      </c>
      <c r="E255" t="s">
        <v>26</v>
      </c>
      <c r="F255" t="s">
        <v>27</v>
      </c>
      <c r="G255" t="s">
        <v>28</v>
      </c>
      <c r="H255" t="s">
        <v>20</v>
      </c>
      <c r="I255" t="s">
        <v>29</v>
      </c>
      <c r="J255" t="s">
        <v>54</v>
      </c>
      <c r="K255" s="2">
        <v>42423.13</v>
      </c>
      <c r="L255" s="4">
        <v>1</v>
      </c>
      <c r="M255" s="3">
        <v>0.02</v>
      </c>
      <c r="N255" s="2">
        <v>3818.08</v>
      </c>
    </row>
    <row r="256" spans="1:14" x14ac:dyDescent="0.3">
      <c r="A256" t="s">
        <v>1196</v>
      </c>
      <c r="B256" s="1">
        <v>44987</v>
      </c>
      <c r="C256" t="s">
        <v>593</v>
      </c>
      <c r="D256" t="s">
        <v>33</v>
      </c>
      <c r="E256" t="s">
        <v>17</v>
      </c>
      <c r="F256" t="s">
        <v>46</v>
      </c>
      <c r="G256" t="s">
        <v>46</v>
      </c>
      <c r="H256" t="s">
        <v>47</v>
      </c>
      <c r="I256" t="s">
        <v>29</v>
      </c>
      <c r="J256" t="s">
        <v>54</v>
      </c>
      <c r="K256" s="2">
        <v>42112</v>
      </c>
      <c r="L256" s="4">
        <v>7</v>
      </c>
      <c r="M256" s="3">
        <v>0.17</v>
      </c>
      <c r="N256" s="2">
        <v>631.67999999999995</v>
      </c>
    </row>
    <row r="257" spans="1:14" x14ac:dyDescent="0.3">
      <c r="A257" t="s">
        <v>729</v>
      </c>
      <c r="B257" s="1">
        <v>44987</v>
      </c>
      <c r="C257" t="s">
        <v>730</v>
      </c>
      <c r="D257" t="s">
        <v>25</v>
      </c>
      <c r="E257" t="s">
        <v>17</v>
      </c>
      <c r="F257" t="s">
        <v>34</v>
      </c>
      <c r="G257" t="s">
        <v>35</v>
      </c>
      <c r="H257" t="s">
        <v>36</v>
      </c>
      <c r="I257" t="s">
        <v>21</v>
      </c>
      <c r="J257" t="s">
        <v>54</v>
      </c>
      <c r="K257" s="2">
        <v>34653.19</v>
      </c>
      <c r="L257" s="4">
        <v>6</v>
      </c>
      <c r="M257" s="3">
        <v>0.11</v>
      </c>
      <c r="N257" s="2">
        <v>1559.39</v>
      </c>
    </row>
    <row r="258" spans="1:14" x14ac:dyDescent="0.3">
      <c r="A258" t="s">
        <v>2251</v>
      </c>
      <c r="B258" s="1">
        <v>44987</v>
      </c>
      <c r="C258" t="s">
        <v>1301</v>
      </c>
      <c r="D258" t="s">
        <v>61</v>
      </c>
      <c r="E258" t="s">
        <v>51</v>
      </c>
      <c r="F258" t="s">
        <v>40</v>
      </c>
      <c r="G258" t="s">
        <v>41</v>
      </c>
      <c r="H258" t="s">
        <v>42</v>
      </c>
      <c r="I258" t="s">
        <v>29</v>
      </c>
      <c r="J258" t="s">
        <v>64</v>
      </c>
      <c r="K258" s="2">
        <v>40563.040000000001</v>
      </c>
      <c r="L258" s="4">
        <v>3</v>
      </c>
      <c r="M258" s="3">
        <v>0.25</v>
      </c>
      <c r="N258" s="2">
        <v>-1014.08</v>
      </c>
    </row>
    <row r="259" spans="1:14" x14ac:dyDescent="0.3">
      <c r="A259" t="s">
        <v>1461</v>
      </c>
      <c r="B259" s="1">
        <v>44988</v>
      </c>
      <c r="C259" t="s">
        <v>1462</v>
      </c>
      <c r="D259" t="s">
        <v>85</v>
      </c>
      <c r="E259" t="s">
        <v>26</v>
      </c>
      <c r="F259" t="s">
        <v>79</v>
      </c>
      <c r="G259" t="s">
        <v>80</v>
      </c>
      <c r="H259" t="s">
        <v>47</v>
      </c>
      <c r="I259" t="s">
        <v>21</v>
      </c>
      <c r="J259" t="s">
        <v>64</v>
      </c>
      <c r="K259" s="2">
        <v>3913.49</v>
      </c>
      <c r="L259" s="4">
        <v>3</v>
      </c>
      <c r="M259" s="3">
        <v>0.01</v>
      </c>
      <c r="N259" s="2">
        <v>371.78</v>
      </c>
    </row>
    <row r="260" spans="1:14" x14ac:dyDescent="0.3">
      <c r="A260" t="s">
        <v>442</v>
      </c>
      <c r="B260" s="1">
        <v>44990</v>
      </c>
      <c r="C260" t="s">
        <v>160</v>
      </c>
      <c r="D260" t="s">
        <v>85</v>
      </c>
      <c r="E260" t="s">
        <v>17</v>
      </c>
      <c r="F260" t="s">
        <v>40</v>
      </c>
      <c r="G260" t="s">
        <v>41</v>
      </c>
      <c r="H260" t="s">
        <v>42</v>
      </c>
      <c r="I260" t="s">
        <v>43</v>
      </c>
      <c r="J260" t="s">
        <v>54</v>
      </c>
      <c r="K260" s="2">
        <v>47361.32</v>
      </c>
      <c r="L260" s="4">
        <v>1</v>
      </c>
      <c r="M260" s="3">
        <v>0.22</v>
      </c>
      <c r="N260" s="2">
        <v>-473.61</v>
      </c>
    </row>
    <row r="261" spans="1:14" x14ac:dyDescent="0.3">
      <c r="A261" t="s">
        <v>1073</v>
      </c>
      <c r="B261" s="1">
        <v>44990</v>
      </c>
      <c r="C261" t="s">
        <v>959</v>
      </c>
      <c r="D261" t="s">
        <v>33</v>
      </c>
      <c r="E261" t="s">
        <v>51</v>
      </c>
      <c r="F261" t="s">
        <v>79</v>
      </c>
      <c r="G261" t="s">
        <v>80</v>
      </c>
      <c r="H261" t="s">
        <v>47</v>
      </c>
      <c r="I261" t="s">
        <v>21</v>
      </c>
      <c r="J261" t="s">
        <v>64</v>
      </c>
      <c r="K261" s="2">
        <v>6164.4</v>
      </c>
      <c r="L261" s="4">
        <v>5</v>
      </c>
      <c r="M261" s="3">
        <v>0.28999999999999998</v>
      </c>
      <c r="N261" s="2">
        <v>-277.39999999999998</v>
      </c>
    </row>
    <row r="262" spans="1:14" x14ac:dyDescent="0.3">
      <c r="A262" t="s">
        <v>2146</v>
      </c>
      <c r="B262" s="1">
        <v>44990</v>
      </c>
      <c r="C262" t="s">
        <v>473</v>
      </c>
      <c r="D262" t="s">
        <v>85</v>
      </c>
      <c r="E262" t="s">
        <v>51</v>
      </c>
      <c r="F262" t="s">
        <v>40</v>
      </c>
      <c r="G262" t="s">
        <v>41</v>
      </c>
      <c r="H262" t="s">
        <v>42</v>
      </c>
      <c r="I262" t="s">
        <v>21</v>
      </c>
      <c r="J262" t="s">
        <v>106</v>
      </c>
      <c r="K262" s="2">
        <v>19676.47</v>
      </c>
      <c r="L262" s="4">
        <v>6</v>
      </c>
      <c r="M262" s="3">
        <v>0.12</v>
      </c>
      <c r="N262" s="2">
        <v>787.06</v>
      </c>
    </row>
    <row r="263" spans="1:14" x14ac:dyDescent="0.3">
      <c r="A263" t="s">
        <v>1394</v>
      </c>
      <c r="B263" s="1">
        <v>44990</v>
      </c>
      <c r="C263" t="s">
        <v>473</v>
      </c>
      <c r="D263" t="s">
        <v>50</v>
      </c>
      <c r="E263" t="s">
        <v>51</v>
      </c>
      <c r="F263" t="s">
        <v>79</v>
      </c>
      <c r="G263" t="s">
        <v>80</v>
      </c>
      <c r="H263" t="s">
        <v>47</v>
      </c>
      <c r="I263" t="s">
        <v>43</v>
      </c>
      <c r="J263" t="s">
        <v>106</v>
      </c>
      <c r="K263" s="2">
        <v>28832.57</v>
      </c>
      <c r="L263" s="4">
        <v>3</v>
      </c>
      <c r="M263" s="3">
        <v>0.13</v>
      </c>
      <c r="N263" s="2">
        <v>1009.14</v>
      </c>
    </row>
    <row r="264" spans="1:14" x14ac:dyDescent="0.3">
      <c r="A264" t="s">
        <v>872</v>
      </c>
      <c r="B264" s="1">
        <v>44990</v>
      </c>
      <c r="C264" t="s">
        <v>873</v>
      </c>
      <c r="D264" t="s">
        <v>57</v>
      </c>
      <c r="E264" t="s">
        <v>51</v>
      </c>
      <c r="F264" t="s">
        <v>40</v>
      </c>
      <c r="G264" t="s">
        <v>41</v>
      </c>
      <c r="H264" t="s">
        <v>42</v>
      </c>
      <c r="I264" t="s">
        <v>43</v>
      </c>
      <c r="J264" t="s">
        <v>58</v>
      </c>
      <c r="K264" s="2">
        <v>29538.98</v>
      </c>
      <c r="L264" s="4">
        <v>7</v>
      </c>
      <c r="M264" s="3">
        <v>0.23</v>
      </c>
      <c r="N264" s="2">
        <v>-443.08</v>
      </c>
    </row>
    <row r="265" spans="1:14" x14ac:dyDescent="0.3">
      <c r="A265" t="s">
        <v>1178</v>
      </c>
      <c r="B265" s="1">
        <v>44990</v>
      </c>
      <c r="C265" t="s">
        <v>431</v>
      </c>
      <c r="D265" t="s">
        <v>50</v>
      </c>
      <c r="E265" t="s">
        <v>17</v>
      </c>
      <c r="F265" t="s">
        <v>79</v>
      </c>
      <c r="G265" t="s">
        <v>80</v>
      </c>
      <c r="H265" t="s">
        <v>47</v>
      </c>
      <c r="I265" t="s">
        <v>29</v>
      </c>
      <c r="J265" t="s">
        <v>54</v>
      </c>
      <c r="K265" s="2">
        <v>13211.91</v>
      </c>
      <c r="L265" s="4">
        <v>2</v>
      </c>
      <c r="M265" s="3">
        <v>0.05</v>
      </c>
      <c r="N265" s="2">
        <v>990.89</v>
      </c>
    </row>
    <row r="266" spans="1:14" x14ac:dyDescent="0.3">
      <c r="A266" t="s">
        <v>428</v>
      </c>
      <c r="B266" s="1">
        <v>44991</v>
      </c>
      <c r="C266" t="s">
        <v>429</v>
      </c>
      <c r="D266" t="s">
        <v>50</v>
      </c>
      <c r="E266" t="s">
        <v>17</v>
      </c>
      <c r="F266" t="s">
        <v>18</v>
      </c>
      <c r="G266" t="s">
        <v>19</v>
      </c>
      <c r="H266" t="s">
        <v>20</v>
      </c>
      <c r="I266" t="s">
        <v>21</v>
      </c>
      <c r="J266" t="s">
        <v>64</v>
      </c>
      <c r="K266" s="2">
        <v>17807.04</v>
      </c>
      <c r="L266" s="4">
        <v>7</v>
      </c>
      <c r="M266" s="3">
        <v>0.03</v>
      </c>
      <c r="N266" s="2">
        <v>1513.6</v>
      </c>
    </row>
    <row r="267" spans="1:14" x14ac:dyDescent="0.3">
      <c r="A267" t="s">
        <v>815</v>
      </c>
      <c r="B267" s="1">
        <v>44991</v>
      </c>
      <c r="C267" t="s">
        <v>816</v>
      </c>
      <c r="D267" t="s">
        <v>33</v>
      </c>
      <c r="E267" t="s">
        <v>17</v>
      </c>
      <c r="F267" t="s">
        <v>40</v>
      </c>
      <c r="G267" t="s">
        <v>41</v>
      </c>
      <c r="H267" t="s">
        <v>42</v>
      </c>
      <c r="I267" t="s">
        <v>21</v>
      </c>
      <c r="J267" t="s">
        <v>54</v>
      </c>
      <c r="K267" s="2">
        <v>24028.43</v>
      </c>
      <c r="L267" s="4">
        <v>2</v>
      </c>
      <c r="M267" s="3">
        <v>0.28000000000000003</v>
      </c>
      <c r="N267" s="2">
        <v>-961.14</v>
      </c>
    </row>
    <row r="268" spans="1:14" x14ac:dyDescent="0.3">
      <c r="A268" t="s">
        <v>919</v>
      </c>
      <c r="B268" s="1">
        <v>44991</v>
      </c>
      <c r="C268" t="s">
        <v>920</v>
      </c>
      <c r="D268" t="s">
        <v>50</v>
      </c>
      <c r="E268" t="s">
        <v>51</v>
      </c>
      <c r="F268" t="s">
        <v>34</v>
      </c>
      <c r="G268" t="s">
        <v>35</v>
      </c>
      <c r="H268" t="s">
        <v>36</v>
      </c>
      <c r="I268" t="s">
        <v>21</v>
      </c>
      <c r="J268" t="s">
        <v>54</v>
      </c>
      <c r="K268" s="2">
        <v>20425.82</v>
      </c>
      <c r="L268" s="4">
        <v>7</v>
      </c>
      <c r="M268" s="3">
        <v>0.09</v>
      </c>
      <c r="N268" s="2">
        <v>1123.42</v>
      </c>
    </row>
    <row r="269" spans="1:14" x14ac:dyDescent="0.3">
      <c r="A269" t="s">
        <v>1754</v>
      </c>
      <c r="B269" s="1">
        <v>44991</v>
      </c>
      <c r="C269" t="s">
        <v>393</v>
      </c>
      <c r="D269" t="s">
        <v>50</v>
      </c>
      <c r="E269" t="s">
        <v>17</v>
      </c>
      <c r="F269" t="s">
        <v>18</v>
      </c>
      <c r="G269" t="s">
        <v>19</v>
      </c>
      <c r="H269" t="s">
        <v>20</v>
      </c>
      <c r="I269" t="s">
        <v>21</v>
      </c>
      <c r="J269" t="s">
        <v>22</v>
      </c>
      <c r="K269" s="2">
        <v>40928.910000000003</v>
      </c>
      <c r="L269" s="4">
        <v>6</v>
      </c>
      <c r="M269" s="3">
        <v>0.11</v>
      </c>
      <c r="N269" s="2">
        <v>1841.8</v>
      </c>
    </row>
    <row r="270" spans="1:14" x14ac:dyDescent="0.3">
      <c r="A270" t="s">
        <v>621</v>
      </c>
      <c r="B270" s="1">
        <v>44992</v>
      </c>
      <c r="C270" t="s">
        <v>622</v>
      </c>
      <c r="D270" t="s">
        <v>25</v>
      </c>
      <c r="E270" t="s">
        <v>51</v>
      </c>
      <c r="F270" t="s">
        <v>27</v>
      </c>
      <c r="G270" t="s">
        <v>28</v>
      </c>
      <c r="H270" t="s">
        <v>20</v>
      </c>
      <c r="I270" t="s">
        <v>21</v>
      </c>
      <c r="J270" t="s">
        <v>64</v>
      </c>
      <c r="K270" s="2">
        <v>5110.0600000000004</v>
      </c>
      <c r="L270" s="4">
        <v>3</v>
      </c>
      <c r="M270" s="3">
        <v>0.24</v>
      </c>
      <c r="N270" s="2">
        <v>-102.2</v>
      </c>
    </row>
    <row r="271" spans="1:14" x14ac:dyDescent="0.3">
      <c r="A271" t="s">
        <v>1489</v>
      </c>
      <c r="B271" s="1">
        <v>44992</v>
      </c>
      <c r="C271" t="s">
        <v>174</v>
      </c>
      <c r="D271" t="s">
        <v>16</v>
      </c>
      <c r="E271" t="s">
        <v>26</v>
      </c>
      <c r="F271" t="s">
        <v>18</v>
      </c>
      <c r="G271" t="s">
        <v>19</v>
      </c>
      <c r="H271" t="s">
        <v>20</v>
      </c>
      <c r="I271" t="s">
        <v>21</v>
      </c>
      <c r="J271" t="s">
        <v>37</v>
      </c>
      <c r="K271" s="2">
        <v>44395.199999999997</v>
      </c>
      <c r="L271" s="4">
        <v>10</v>
      </c>
      <c r="M271" s="3">
        <v>0.14000000000000001</v>
      </c>
      <c r="N271" s="2">
        <v>1331.86</v>
      </c>
    </row>
    <row r="272" spans="1:14" x14ac:dyDescent="0.3">
      <c r="A272" t="s">
        <v>1611</v>
      </c>
      <c r="B272" s="1">
        <v>44992</v>
      </c>
      <c r="C272" t="s">
        <v>1117</v>
      </c>
      <c r="D272" t="s">
        <v>57</v>
      </c>
      <c r="E272" t="s">
        <v>51</v>
      </c>
      <c r="F272" t="s">
        <v>34</v>
      </c>
      <c r="G272" t="s">
        <v>35</v>
      </c>
      <c r="H272" t="s">
        <v>36</v>
      </c>
      <c r="I272" t="s">
        <v>43</v>
      </c>
      <c r="J272" t="s">
        <v>58</v>
      </c>
      <c r="K272" s="2">
        <v>45141.41</v>
      </c>
      <c r="L272" s="4">
        <v>1</v>
      </c>
      <c r="M272" s="3">
        <v>0.22</v>
      </c>
      <c r="N272" s="2">
        <v>-451.41</v>
      </c>
    </row>
    <row r="273" spans="1:14" x14ac:dyDescent="0.3">
      <c r="A273" t="s">
        <v>1964</v>
      </c>
      <c r="B273" s="1">
        <v>44992</v>
      </c>
      <c r="C273" t="s">
        <v>433</v>
      </c>
      <c r="D273" t="s">
        <v>61</v>
      </c>
      <c r="E273" t="s">
        <v>17</v>
      </c>
      <c r="F273" t="s">
        <v>79</v>
      </c>
      <c r="G273" t="s">
        <v>80</v>
      </c>
      <c r="H273" t="s">
        <v>47</v>
      </c>
      <c r="I273" t="s">
        <v>29</v>
      </c>
      <c r="J273" t="s">
        <v>54</v>
      </c>
      <c r="K273" s="2">
        <v>47162.59</v>
      </c>
      <c r="L273" s="4">
        <v>3</v>
      </c>
      <c r="M273" s="3">
        <v>0.16</v>
      </c>
      <c r="N273" s="2">
        <v>943.25</v>
      </c>
    </row>
    <row r="274" spans="1:14" x14ac:dyDescent="0.3">
      <c r="A274" t="s">
        <v>2189</v>
      </c>
      <c r="B274" s="1">
        <v>44992</v>
      </c>
      <c r="C274" t="s">
        <v>1484</v>
      </c>
      <c r="D274" t="s">
        <v>33</v>
      </c>
      <c r="E274" t="s">
        <v>26</v>
      </c>
      <c r="F274" t="s">
        <v>27</v>
      </c>
      <c r="G274" t="s">
        <v>28</v>
      </c>
      <c r="H274" t="s">
        <v>20</v>
      </c>
      <c r="I274" t="s">
        <v>43</v>
      </c>
      <c r="J274" t="s">
        <v>22</v>
      </c>
      <c r="K274" s="2">
        <v>39292.67</v>
      </c>
      <c r="L274" s="4">
        <v>5</v>
      </c>
      <c r="M274" s="3">
        <v>0.09</v>
      </c>
      <c r="N274" s="2">
        <v>2161.1</v>
      </c>
    </row>
    <row r="275" spans="1:14" x14ac:dyDescent="0.3">
      <c r="A275" t="s">
        <v>243</v>
      </c>
      <c r="B275" s="1">
        <v>44993</v>
      </c>
      <c r="C275" t="s">
        <v>244</v>
      </c>
      <c r="D275" t="s">
        <v>50</v>
      </c>
      <c r="E275" t="s">
        <v>51</v>
      </c>
      <c r="F275" t="s">
        <v>40</v>
      </c>
      <c r="G275" t="s">
        <v>41</v>
      </c>
      <c r="H275" t="s">
        <v>42</v>
      </c>
      <c r="I275" t="s">
        <v>21</v>
      </c>
      <c r="J275" t="s">
        <v>106</v>
      </c>
      <c r="K275" s="2">
        <v>1600.96</v>
      </c>
      <c r="L275" s="4">
        <v>5</v>
      </c>
      <c r="M275" s="3">
        <v>0.09</v>
      </c>
      <c r="N275" s="2">
        <v>88.05</v>
      </c>
    </row>
    <row r="276" spans="1:14" x14ac:dyDescent="0.3">
      <c r="A276" t="s">
        <v>600</v>
      </c>
      <c r="B276" s="1">
        <v>44993</v>
      </c>
      <c r="C276" t="s">
        <v>601</v>
      </c>
      <c r="D276" t="s">
        <v>57</v>
      </c>
      <c r="E276" t="s">
        <v>26</v>
      </c>
      <c r="F276" t="s">
        <v>34</v>
      </c>
      <c r="G276" t="s">
        <v>35</v>
      </c>
      <c r="H276" t="s">
        <v>36</v>
      </c>
      <c r="I276" t="s">
        <v>43</v>
      </c>
      <c r="J276" t="s">
        <v>54</v>
      </c>
      <c r="K276" s="2">
        <v>4059.15</v>
      </c>
      <c r="L276" s="4">
        <v>10</v>
      </c>
      <c r="M276" s="3">
        <v>0.03</v>
      </c>
      <c r="N276" s="2">
        <v>345.03</v>
      </c>
    </row>
    <row r="277" spans="1:14" x14ac:dyDescent="0.3">
      <c r="A277" t="s">
        <v>1320</v>
      </c>
      <c r="B277" s="1">
        <v>44993</v>
      </c>
      <c r="C277" t="s">
        <v>1321</v>
      </c>
      <c r="D277" t="s">
        <v>57</v>
      </c>
      <c r="E277" t="s">
        <v>17</v>
      </c>
      <c r="F277" t="s">
        <v>46</v>
      </c>
      <c r="G277" t="s">
        <v>46</v>
      </c>
      <c r="H277" t="s">
        <v>47</v>
      </c>
      <c r="I277" t="s">
        <v>21</v>
      </c>
      <c r="J277" t="s">
        <v>54</v>
      </c>
      <c r="K277" s="2">
        <v>917.38</v>
      </c>
      <c r="L277" s="4">
        <v>4</v>
      </c>
      <c r="M277" s="3">
        <v>0.02</v>
      </c>
      <c r="N277" s="2">
        <v>82.56</v>
      </c>
    </row>
    <row r="278" spans="1:14" x14ac:dyDescent="0.3">
      <c r="A278" t="s">
        <v>2247</v>
      </c>
      <c r="B278" s="1">
        <v>44993</v>
      </c>
      <c r="C278" t="s">
        <v>1835</v>
      </c>
      <c r="D278" t="s">
        <v>57</v>
      </c>
      <c r="E278" t="s">
        <v>17</v>
      </c>
      <c r="F278" t="s">
        <v>27</v>
      </c>
      <c r="G278" t="s">
        <v>28</v>
      </c>
      <c r="H278" t="s">
        <v>20</v>
      </c>
      <c r="I278" t="s">
        <v>21</v>
      </c>
      <c r="J278" t="s">
        <v>58</v>
      </c>
      <c r="K278" s="2">
        <v>26913.97</v>
      </c>
      <c r="L278" s="4">
        <v>7</v>
      </c>
      <c r="M278" s="3">
        <v>0.23</v>
      </c>
      <c r="N278" s="2">
        <v>-403.71</v>
      </c>
    </row>
    <row r="279" spans="1:14" x14ac:dyDescent="0.3">
      <c r="A279" t="s">
        <v>725</v>
      </c>
      <c r="B279" s="1">
        <v>44993</v>
      </c>
      <c r="C279" t="s">
        <v>726</v>
      </c>
      <c r="D279" t="s">
        <v>85</v>
      </c>
      <c r="E279" t="s">
        <v>17</v>
      </c>
      <c r="F279" t="s">
        <v>34</v>
      </c>
      <c r="G279" t="s">
        <v>35</v>
      </c>
      <c r="H279" t="s">
        <v>36</v>
      </c>
      <c r="I279" t="s">
        <v>29</v>
      </c>
      <c r="J279" t="s">
        <v>37</v>
      </c>
      <c r="K279" s="2">
        <v>41367.300000000003</v>
      </c>
      <c r="L279" s="4">
        <v>8</v>
      </c>
      <c r="M279" s="3">
        <v>0.16</v>
      </c>
      <c r="N279" s="2">
        <v>827.35</v>
      </c>
    </row>
    <row r="280" spans="1:14" x14ac:dyDescent="0.3">
      <c r="A280" t="s">
        <v>1108</v>
      </c>
      <c r="B280" s="1">
        <v>44993</v>
      </c>
      <c r="C280" t="s">
        <v>390</v>
      </c>
      <c r="D280" t="s">
        <v>16</v>
      </c>
      <c r="E280" t="s">
        <v>17</v>
      </c>
      <c r="F280" t="s">
        <v>46</v>
      </c>
      <c r="G280" t="s">
        <v>46</v>
      </c>
      <c r="H280" t="s">
        <v>47</v>
      </c>
      <c r="I280" t="s">
        <v>29</v>
      </c>
      <c r="J280" t="s">
        <v>106</v>
      </c>
      <c r="K280" s="2">
        <v>1736.51</v>
      </c>
      <c r="L280" s="4">
        <v>3</v>
      </c>
      <c r="M280" s="3">
        <v>0.24</v>
      </c>
      <c r="N280" s="2">
        <v>-34.729999999999997</v>
      </c>
    </row>
    <row r="281" spans="1:14" x14ac:dyDescent="0.3">
      <c r="A281" t="s">
        <v>354</v>
      </c>
      <c r="B281" s="1">
        <v>44993</v>
      </c>
      <c r="C281" t="s">
        <v>355</v>
      </c>
      <c r="D281" t="s">
        <v>33</v>
      </c>
      <c r="E281" t="s">
        <v>26</v>
      </c>
      <c r="F281" t="s">
        <v>34</v>
      </c>
      <c r="G281" t="s">
        <v>35</v>
      </c>
      <c r="H281" t="s">
        <v>36</v>
      </c>
      <c r="I281" t="s">
        <v>29</v>
      </c>
      <c r="J281" t="s">
        <v>22</v>
      </c>
      <c r="K281" s="2">
        <v>18644.12</v>
      </c>
      <c r="L281" s="4">
        <v>5</v>
      </c>
      <c r="M281" s="3">
        <v>0.21</v>
      </c>
      <c r="N281" s="2">
        <v>-93.22</v>
      </c>
    </row>
    <row r="282" spans="1:14" x14ac:dyDescent="0.3">
      <c r="A282" t="s">
        <v>1770</v>
      </c>
      <c r="B282" s="1">
        <v>44994</v>
      </c>
      <c r="C282" t="s">
        <v>1174</v>
      </c>
      <c r="D282" t="s">
        <v>85</v>
      </c>
      <c r="E282" t="s">
        <v>26</v>
      </c>
      <c r="F282" t="s">
        <v>27</v>
      </c>
      <c r="G282" t="s">
        <v>28</v>
      </c>
      <c r="H282" t="s">
        <v>20</v>
      </c>
      <c r="I282" t="s">
        <v>43</v>
      </c>
      <c r="J282" t="s">
        <v>58</v>
      </c>
      <c r="K282" s="2">
        <v>28834.84</v>
      </c>
      <c r="L282" s="4">
        <v>9</v>
      </c>
      <c r="M282" s="3">
        <v>0.24</v>
      </c>
      <c r="N282" s="2">
        <v>-576.70000000000005</v>
      </c>
    </row>
    <row r="283" spans="1:14" x14ac:dyDescent="0.3">
      <c r="A283" t="s">
        <v>485</v>
      </c>
      <c r="B283" s="1">
        <v>44994</v>
      </c>
      <c r="C283" t="s">
        <v>486</v>
      </c>
      <c r="D283" t="s">
        <v>50</v>
      </c>
      <c r="E283" t="s">
        <v>51</v>
      </c>
      <c r="F283" t="s">
        <v>34</v>
      </c>
      <c r="G283" t="s">
        <v>35</v>
      </c>
      <c r="H283" t="s">
        <v>36</v>
      </c>
      <c r="I283" t="s">
        <v>21</v>
      </c>
      <c r="J283" t="s">
        <v>30</v>
      </c>
      <c r="K283" s="2">
        <v>30969.53</v>
      </c>
      <c r="L283" s="4">
        <v>10</v>
      </c>
      <c r="M283" s="3">
        <v>0.2</v>
      </c>
      <c r="N283" s="2">
        <v>0</v>
      </c>
    </row>
    <row r="284" spans="1:14" x14ac:dyDescent="0.3">
      <c r="A284" t="s">
        <v>224</v>
      </c>
      <c r="B284" s="1">
        <v>44995</v>
      </c>
      <c r="C284" t="s">
        <v>225</v>
      </c>
      <c r="D284" t="s">
        <v>61</v>
      </c>
      <c r="E284" t="s">
        <v>26</v>
      </c>
      <c r="F284" t="s">
        <v>40</v>
      </c>
      <c r="G284" t="s">
        <v>41</v>
      </c>
      <c r="H284" t="s">
        <v>42</v>
      </c>
      <c r="I284" t="s">
        <v>21</v>
      </c>
      <c r="J284" t="s">
        <v>58</v>
      </c>
      <c r="K284" s="2">
        <v>40159.629999999997</v>
      </c>
      <c r="L284" s="4">
        <v>1</v>
      </c>
      <c r="M284" s="3">
        <v>0.18</v>
      </c>
      <c r="N284" s="2">
        <v>401.6</v>
      </c>
    </row>
    <row r="285" spans="1:14" x14ac:dyDescent="0.3">
      <c r="A285" t="s">
        <v>1076</v>
      </c>
      <c r="B285" s="1">
        <v>44995</v>
      </c>
      <c r="C285" t="s">
        <v>1077</v>
      </c>
      <c r="D285" t="s">
        <v>25</v>
      </c>
      <c r="E285" t="s">
        <v>17</v>
      </c>
      <c r="F285" t="s">
        <v>27</v>
      </c>
      <c r="G285" t="s">
        <v>28</v>
      </c>
      <c r="H285" t="s">
        <v>20</v>
      </c>
      <c r="I285" t="s">
        <v>43</v>
      </c>
      <c r="J285" t="s">
        <v>58</v>
      </c>
      <c r="K285" s="2">
        <v>11487.88</v>
      </c>
      <c r="L285" s="4">
        <v>6</v>
      </c>
      <c r="M285" s="3">
        <v>0.05</v>
      </c>
      <c r="N285" s="2">
        <v>861.59</v>
      </c>
    </row>
    <row r="286" spans="1:14" x14ac:dyDescent="0.3">
      <c r="A286" t="s">
        <v>1593</v>
      </c>
      <c r="B286" s="1">
        <v>44995</v>
      </c>
      <c r="C286" t="s">
        <v>252</v>
      </c>
      <c r="D286" t="s">
        <v>33</v>
      </c>
      <c r="E286" t="s">
        <v>51</v>
      </c>
      <c r="F286" t="s">
        <v>18</v>
      </c>
      <c r="G286" t="s">
        <v>19</v>
      </c>
      <c r="H286" t="s">
        <v>20</v>
      </c>
      <c r="I286" t="s">
        <v>29</v>
      </c>
      <c r="J286" t="s">
        <v>58</v>
      </c>
      <c r="K286" s="2">
        <v>12362.54</v>
      </c>
      <c r="L286" s="4">
        <v>9</v>
      </c>
      <c r="M286" s="3">
        <v>0.03</v>
      </c>
      <c r="N286" s="2">
        <v>1050.82</v>
      </c>
    </row>
    <row r="287" spans="1:14" x14ac:dyDescent="0.3">
      <c r="A287" t="s">
        <v>699</v>
      </c>
      <c r="B287" s="1">
        <v>44996</v>
      </c>
      <c r="C287" t="s">
        <v>700</v>
      </c>
      <c r="D287" t="s">
        <v>25</v>
      </c>
      <c r="E287" t="s">
        <v>17</v>
      </c>
      <c r="F287" t="s">
        <v>79</v>
      </c>
      <c r="G287" t="s">
        <v>80</v>
      </c>
      <c r="H287" t="s">
        <v>47</v>
      </c>
      <c r="I287" t="s">
        <v>21</v>
      </c>
      <c r="J287" t="s">
        <v>64</v>
      </c>
      <c r="K287" s="2">
        <v>14524.31</v>
      </c>
      <c r="L287" s="4">
        <v>2</v>
      </c>
      <c r="M287" s="3">
        <v>0.15</v>
      </c>
      <c r="N287" s="2">
        <v>363.11</v>
      </c>
    </row>
    <row r="288" spans="1:14" x14ac:dyDescent="0.3">
      <c r="A288" t="s">
        <v>1011</v>
      </c>
      <c r="B288" s="1">
        <v>44996</v>
      </c>
      <c r="C288" t="s">
        <v>612</v>
      </c>
      <c r="D288" t="s">
        <v>50</v>
      </c>
      <c r="E288" t="s">
        <v>51</v>
      </c>
      <c r="F288" t="s">
        <v>46</v>
      </c>
      <c r="G288" t="s">
        <v>46</v>
      </c>
      <c r="H288" t="s">
        <v>47</v>
      </c>
      <c r="I288" t="s">
        <v>43</v>
      </c>
      <c r="J288" t="s">
        <v>106</v>
      </c>
      <c r="K288" s="2">
        <v>5731.22</v>
      </c>
      <c r="L288" s="4">
        <v>10</v>
      </c>
      <c r="M288" s="3">
        <v>0.3</v>
      </c>
      <c r="N288" s="2">
        <v>-286.56</v>
      </c>
    </row>
    <row r="289" spans="1:14" x14ac:dyDescent="0.3">
      <c r="A289" t="s">
        <v>1798</v>
      </c>
      <c r="B289" s="1">
        <v>44996</v>
      </c>
      <c r="C289" t="s">
        <v>204</v>
      </c>
      <c r="D289" t="s">
        <v>50</v>
      </c>
      <c r="E289" t="s">
        <v>26</v>
      </c>
      <c r="F289" t="s">
        <v>34</v>
      </c>
      <c r="G289" t="s">
        <v>35</v>
      </c>
      <c r="H289" t="s">
        <v>36</v>
      </c>
      <c r="I289" t="s">
        <v>43</v>
      </c>
      <c r="J289" t="s">
        <v>37</v>
      </c>
      <c r="K289" s="2">
        <v>30450.33</v>
      </c>
      <c r="L289" s="4">
        <v>10</v>
      </c>
      <c r="M289" s="3">
        <v>0.25</v>
      </c>
      <c r="N289" s="2">
        <v>-761.26</v>
      </c>
    </row>
    <row r="290" spans="1:14" x14ac:dyDescent="0.3">
      <c r="A290" t="s">
        <v>1408</v>
      </c>
      <c r="B290" s="1">
        <v>44996</v>
      </c>
      <c r="C290" t="s">
        <v>1409</v>
      </c>
      <c r="D290" t="s">
        <v>57</v>
      </c>
      <c r="E290" t="s">
        <v>26</v>
      </c>
      <c r="F290" t="s">
        <v>34</v>
      </c>
      <c r="G290" t="s">
        <v>35</v>
      </c>
      <c r="H290" t="s">
        <v>36</v>
      </c>
      <c r="I290" t="s">
        <v>29</v>
      </c>
      <c r="J290" t="s">
        <v>37</v>
      </c>
      <c r="K290" s="2">
        <v>31700.13</v>
      </c>
      <c r="L290" s="4">
        <v>9</v>
      </c>
      <c r="M290" s="3">
        <v>0.3</v>
      </c>
      <c r="N290" s="2">
        <v>-1585.01</v>
      </c>
    </row>
    <row r="291" spans="1:14" x14ac:dyDescent="0.3">
      <c r="A291" t="s">
        <v>1132</v>
      </c>
      <c r="B291" s="1">
        <v>44997</v>
      </c>
      <c r="C291" t="s">
        <v>1133</v>
      </c>
      <c r="D291" t="s">
        <v>57</v>
      </c>
      <c r="E291" t="s">
        <v>17</v>
      </c>
      <c r="F291" t="s">
        <v>18</v>
      </c>
      <c r="G291" t="s">
        <v>19</v>
      </c>
      <c r="H291" t="s">
        <v>20</v>
      </c>
      <c r="I291" t="s">
        <v>21</v>
      </c>
      <c r="J291" t="s">
        <v>30</v>
      </c>
      <c r="K291" s="2">
        <v>16869.62</v>
      </c>
      <c r="L291" s="4">
        <v>7</v>
      </c>
      <c r="M291" s="3">
        <v>0.3</v>
      </c>
      <c r="N291" s="2">
        <v>-843.48</v>
      </c>
    </row>
    <row r="292" spans="1:14" x14ac:dyDescent="0.3">
      <c r="A292" t="s">
        <v>1744</v>
      </c>
      <c r="B292" s="1">
        <v>44997</v>
      </c>
      <c r="C292" t="s">
        <v>464</v>
      </c>
      <c r="D292" t="s">
        <v>85</v>
      </c>
      <c r="E292" t="s">
        <v>51</v>
      </c>
      <c r="F292" t="s">
        <v>40</v>
      </c>
      <c r="G292" t="s">
        <v>41</v>
      </c>
      <c r="H292" t="s">
        <v>42</v>
      </c>
      <c r="I292" t="s">
        <v>29</v>
      </c>
      <c r="J292" t="s">
        <v>54</v>
      </c>
      <c r="K292" s="2">
        <v>40325.449999999997</v>
      </c>
      <c r="L292" s="4">
        <v>10</v>
      </c>
      <c r="M292" s="3">
        <v>0.03</v>
      </c>
      <c r="N292" s="2">
        <v>3427.66</v>
      </c>
    </row>
    <row r="293" spans="1:14" x14ac:dyDescent="0.3">
      <c r="A293" t="s">
        <v>2087</v>
      </c>
      <c r="B293" s="1">
        <v>44997</v>
      </c>
      <c r="C293" t="s">
        <v>1329</v>
      </c>
      <c r="D293" t="s">
        <v>85</v>
      </c>
      <c r="E293" t="s">
        <v>51</v>
      </c>
      <c r="F293" t="s">
        <v>46</v>
      </c>
      <c r="G293" t="s">
        <v>46</v>
      </c>
      <c r="H293" t="s">
        <v>47</v>
      </c>
      <c r="I293" t="s">
        <v>21</v>
      </c>
      <c r="J293" t="s">
        <v>37</v>
      </c>
      <c r="K293" s="2">
        <v>25373.91</v>
      </c>
      <c r="L293" s="4">
        <v>8</v>
      </c>
      <c r="M293" s="3">
        <v>0.08</v>
      </c>
      <c r="N293" s="2">
        <v>1522.43</v>
      </c>
    </row>
    <row r="294" spans="1:14" x14ac:dyDescent="0.3">
      <c r="A294" t="s">
        <v>1243</v>
      </c>
      <c r="B294" s="1">
        <v>44997</v>
      </c>
      <c r="C294" t="s">
        <v>1244</v>
      </c>
      <c r="D294" t="s">
        <v>85</v>
      </c>
      <c r="E294" t="s">
        <v>17</v>
      </c>
      <c r="F294" t="s">
        <v>46</v>
      </c>
      <c r="G294" t="s">
        <v>46</v>
      </c>
      <c r="H294" t="s">
        <v>47</v>
      </c>
      <c r="I294" t="s">
        <v>43</v>
      </c>
      <c r="J294" t="s">
        <v>37</v>
      </c>
      <c r="K294" s="2">
        <v>31169.39</v>
      </c>
      <c r="L294" s="4">
        <v>1</v>
      </c>
      <c r="M294" s="3">
        <v>0.15</v>
      </c>
      <c r="N294" s="2">
        <v>779.23</v>
      </c>
    </row>
    <row r="295" spans="1:14" x14ac:dyDescent="0.3">
      <c r="A295" t="s">
        <v>876</v>
      </c>
      <c r="B295" s="1">
        <v>44998</v>
      </c>
      <c r="C295" t="s">
        <v>816</v>
      </c>
      <c r="D295" t="s">
        <v>57</v>
      </c>
      <c r="E295" t="s">
        <v>26</v>
      </c>
      <c r="F295" t="s">
        <v>40</v>
      </c>
      <c r="G295" t="s">
        <v>41</v>
      </c>
      <c r="H295" t="s">
        <v>42</v>
      </c>
      <c r="I295" t="s">
        <v>21</v>
      </c>
      <c r="J295" t="s">
        <v>30</v>
      </c>
      <c r="K295" s="2">
        <v>48360.31</v>
      </c>
      <c r="L295" s="4">
        <v>7</v>
      </c>
      <c r="M295" s="3">
        <v>0.1</v>
      </c>
      <c r="N295" s="2">
        <v>2418.02</v>
      </c>
    </row>
    <row r="296" spans="1:14" x14ac:dyDescent="0.3">
      <c r="A296" t="s">
        <v>613</v>
      </c>
      <c r="B296" s="1">
        <v>44999</v>
      </c>
      <c r="C296" t="s">
        <v>614</v>
      </c>
      <c r="D296" t="s">
        <v>25</v>
      </c>
      <c r="E296" t="s">
        <v>17</v>
      </c>
      <c r="F296" t="s">
        <v>18</v>
      </c>
      <c r="G296" t="s">
        <v>19</v>
      </c>
      <c r="H296" t="s">
        <v>20</v>
      </c>
      <c r="I296" t="s">
        <v>29</v>
      </c>
      <c r="J296" t="s">
        <v>58</v>
      </c>
      <c r="K296" s="2">
        <v>28936.79</v>
      </c>
      <c r="L296" s="4">
        <v>10</v>
      </c>
      <c r="M296" s="3">
        <v>0.25</v>
      </c>
      <c r="N296" s="2">
        <v>-723.42</v>
      </c>
    </row>
    <row r="297" spans="1:14" x14ac:dyDescent="0.3">
      <c r="A297" t="s">
        <v>2006</v>
      </c>
      <c r="B297" s="1">
        <v>44999</v>
      </c>
      <c r="C297" t="s">
        <v>235</v>
      </c>
      <c r="D297" t="s">
        <v>25</v>
      </c>
      <c r="E297" t="s">
        <v>51</v>
      </c>
      <c r="F297" t="s">
        <v>27</v>
      </c>
      <c r="G297" t="s">
        <v>28</v>
      </c>
      <c r="H297" t="s">
        <v>20</v>
      </c>
      <c r="I297" t="s">
        <v>43</v>
      </c>
      <c r="J297" t="s">
        <v>30</v>
      </c>
      <c r="K297" s="2">
        <v>11441.32</v>
      </c>
      <c r="L297" s="4">
        <v>2</v>
      </c>
      <c r="M297" s="3">
        <v>0.02</v>
      </c>
      <c r="N297" s="2">
        <v>1029.72</v>
      </c>
    </row>
    <row r="298" spans="1:14" x14ac:dyDescent="0.3">
      <c r="A298" t="s">
        <v>913</v>
      </c>
      <c r="B298" s="1">
        <v>44999</v>
      </c>
      <c r="C298" t="s">
        <v>914</v>
      </c>
      <c r="D298" t="s">
        <v>50</v>
      </c>
      <c r="E298" t="s">
        <v>51</v>
      </c>
      <c r="F298" t="s">
        <v>18</v>
      </c>
      <c r="G298" t="s">
        <v>19</v>
      </c>
      <c r="H298" t="s">
        <v>20</v>
      </c>
      <c r="I298" t="s">
        <v>43</v>
      </c>
      <c r="J298" t="s">
        <v>58</v>
      </c>
      <c r="K298" s="2">
        <v>9104.52</v>
      </c>
      <c r="L298" s="4">
        <v>7</v>
      </c>
      <c r="M298" s="3">
        <v>0.08</v>
      </c>
      <c r="N298" s="2">
        <v>546.27</v>
      </c>
    </row>
    <row r="299" spans="1:14" x14ac:dyDescent="0.3">
      <c r="A299" t="s">
        <v>1442</v>
      </c>
      <c r="B299" s="1">
        <v>44999</v>
      </c>
      <c r="C299" t="s">
        <v>110</v>
      </c>
      <c r="D299" t="s">
        <v>33</v>
      </c>
      <c r="E299" t="s">
        <v>26</v>
      </c>
      <c r="F299" t="s">
        <v>18</v>
      </c>
      <c r="G299" t="s">
        <v>19</v>
      </c>
      <c r="H299" t="s">
        <v>20</v>
      </c>
      <c r="I299" t="s">
        <v>29</v>
      </c>
      <c r="J299" t="s">
        <v>37</v>
      </c>
      <c r="K299" s="2">
        <v>38536.17</v>
      </c>
      <c r="L299" s="4">
        <v>6</v>
      </c>
      <c r="M299" s="3">
        <v>0.17</v>
      </c>
      <c r="N299" s="2">
        <v>578.04</v>
      </c>
    </row>
    <row r="300" spans="1:14" x14ac:dyDescent="0.3">
      <c r="A300" t="s">
        <v>1217</v>
      </c>
      <c r="B300" s="1">
        <v>45000</v>
      </c>
      <c r="C300" t="s">
        <v>49</v>
      </c>
      <c r="D300" t="s">
        <v>85</v>
      </c>
      <c r="E300" t="s">
        <v>51</v>
      </c>
      <c r="F300" t="s">
        <v>34</v>
      </c>
      <c r="G300" t="s">
        <v>35</v>
      </c>
      <c r="H300" t="s">
        <v>36</v>
      </c>
      <c r="I300" t="s">
        <v>29</v>
      </c>
      <c r="J300" t="s">
        <v>22</v>
      </c>
      <c r="K300" s="2">
        <v>16681.740000000002</v>
      </c>
      <c r="L300" s="4">
        <v>5</v>
      </c>
      <c r="M300" s="3">
        <v>0.17</v>
      </c>
      <c r="N300" s="2">
        <v>250.23</v>
      </c>
    </row>
    <row r="301" spans="1:14" x14ac:dyDescent="0.3">
      <c r="A301" t="s">
        <v>179</v>
      </c>
      <c r="B301" s="1">
        <v>45001</v>
      </c>
      <c r="C301" t="s">
        <v>180</v>
      </c>
      <c r="D301" t="s">
        <v>85</v>
      </c>
      <c r="E301" t="s">
        <v>51</v>
      </c>
      <c r="F301" t="s">
        <v>27</v>
      </c>
      <c r="G301" t="s">
        <v>28</v>
      </c>
      <c r="H301" t="s">
        <v>20</v>
      </c>
      <c r="I301" t="s">
        <v>21</v>
      </c>
      <c r="J301" t="s">
        <v>22</v>
      </c>
      <c r="K301" s="2">
        <v>8219.48</v>
      </c>
      <c r="L301" s="4">
        <v>3</v>
      </c>
      <c r="M301" s="3">
        <v>0.02</v>
      </c>
      <c r="N301" s="2">
        <v>739.75</v>
      </c>
    </row>
    <row r="302" spans="1:14" x14ac:dyDescent="0.3">
      <c r="A302" t="s">
        <v>1258</v>
      </c>
      <c r="B302" s="1">
        <v>45001</v>
      </c>
      <c r="C302" t="s">
        <v>765</v>
      </c>
      <c r="D302" t="s">
        <v>85</v>
      </c>
      <c r="E302" t="s">
        <v>17</v>
      </c>
      <c r="F302" t="s">
        <v>27</v>
      </c>
      <c r="G302" t="s">
        <v>28</v>
      </c>
      <c r="H302" t="s">
        <v>20</v>
      </c>
      <c r="I302" t="s">
        <v>21</v>
      </c>
      <c r="J302" t="s">
        <v>54</v>
      </c>
      <c r="K302" s="2">
        <v>9767.7099999999991</v>
      </c>
      <c r="L302" s="4">
        <v>9</v>
      </c>
      <c r="M302" s="3">
        <v>0.16</v>
      </c>
      <c r="N302" s="2">
        <v>195.35</v>
      </c>
    </row>
    <row r="303" spans="1:14" x14ac:dyDescent="0.3">
      <c r="A303" t="s">
        <v>1379</v>
      </c>
      <c r="B303" s="1">
        <v>45001</v>
      </c>
      <c r="C303" t="s">
        <v>1380</v>
      </c>
      <c r="D303" t="s">
        <v>16</v>
      </c>
      <c r="E303" t="s">
        <v>26</v>
      </c>
      <c r="F303" t="s">
        <v>40</v>
      </c>
      <c r="G303" t="s">
        <v>41</v>
      </c>
      <c r="H303" t="s">
        <v>42</v>
      </c>
      <c r="I303" t="s">
        <v>29</v>
      </c>
      <c r="J303" t="s">
        <v>58</v>
      </c>
      <c r="K303" s="2">
        <v>17445.349999999999</v>
      </c>
      <c r="L303" s="4">
        <v>10</v>
      </c>
      <c r="M303" s="3">
        <v>0.2</v>
      </c>
      <c r="N303" s="2">
        <v>0</v>
      </c>
    </row>
    <row r="304" spans="1:14" x14ac:dyDescent="0.3">
      <c r="A304" t="s">
        <v>1393</v>
      </c>
      <c r="B304" s="1">
        <v>45001</v>
      </c>
      <c r="C304" t="s">
        <v>435</v>
      </c>
      <c r="D304" t="s">
        <v>50</v>
      </c>
      <c r="E304" t="s">
        <v>51</v>
      </c>
      <c r="F304" t="s">
        <v>79</v>
      </c>
      <c r="G304" t="s">
        <v>80</v>
      </c>
      <c r="H304" t="s">
        <v>47</v>
      </c>
      <c r="I304" t="s">
        <v>21</v>
      </c>
      <c r="J304" t="s">
        <v>30</v>
      </c>
      <c r="K304" s="2">
        <v>36358.480000000003</v>
      </c>
      <c r="L304" s="4">
        <v>5</v>
      </c>
      <c r="M304" s="3">
        <v>0.05</v>
      </c>
      <c r="N304" s="2">
        <v>2726.89</v>
      </c>
    </row>
    <row r="305" spans="1:14" x14ac:dyDescent="0.3">
      <c r="A305" t="s">
        <v>502</v>
      </c>
      <c r="B305" s="1">
        <v>45002</v>
      </c>
      <c r="C305" t="s">
        <v>503</v>
      </c>
      <c r="D305" t="s">
        <v>85</v>
      </c>
      <c r="E305" t="s">
        <v>17</v>
      </c>
      <c r="F305" t="s">
        <v>46</v>
      </c>
      <c r="G305" t="s">
        <v>46</v>
      </c>
      <c r="H305" t="s">
        <v>47</v>
      </c>
      <c r="I305" t="s">
        <v>43</v>
      </c>
      <c r="J305" t="s">
        <v>58</v>
      </c>
      <c r="K305" s="2">
        <v>39587.800000000003</v>
      </c>
      <c r="L305" s="4">
        <v>2</v>
      </c>
      <c r="M305" s="3">
        <v>0.18</v>
      </c>
      <c r="N305" s="2">
        <v>395.88</v>
      </c>
    </row>
    <row r="306" spans="1:14" x14ac:dyDescent="0.3">
      <c r="A306" t="s">
        <v>763</v>
      </c>
      <c r="B306" s="1">
        <v>45002</v>
      </c>
      <c r="C306" t="s">
        <v>32</v>
      </c>
      <c r="D306" t="s">
        <v>57</v>
      </c>
      <c r="E306" t="s">
        <v>51</v>
      </c>
      <c r="F306" t="s">
        <v>18</v>
      </c>
      <c r="G306" t="s">
        <v>19</v>
      </c>
      <c r="H306" t="s">
        <v>20</v>
      </c>
      <c r="I306" t="s">
        <v>43</v>
      </c>
      <c r="J306" t="s">
        <v>30</v>
      </c>
      <c r="K306" s="2">
        <v>45738.45</v>
      </c>
      <c r="L306" s="4">
        <v>6</v>
      </c>
      <c r="M306" s="3">
        <v>0.09</v>
      </c>
      <c r="N306" s="2">
        <v>2515.61</v>
      </c>
    </row>
    <row r="307" spans="1:14" x14ac:dyDescent="0.3">
      <c r="A307" t="s">
        <v>1604</v>
      </c>
      <c r="B307" s="1">
        <v>45002</v>
      </c>
      <c r="C307" t="s">
        <v>1605</v>
      </c>
      <c r="D307" t="s">
        <v>85</v>
      </c>
      <c r="E307" t="s">
        <v>51</v>
      </c>
      <c r="F307" t="s">
        <v>46</v>
      </c>
      <c r="G307" t="s">
        <v>46</v>
      </c>
      <c r="H307" t="s">
        <v>47</v>
      </c>
      <c r="I307" t="s">
        <v>21</v>
      </c>
      <c r="J307" t="s">
        <v>37</v>
      </c>
      <c r="K307" s="2">
        <v>20132.21</v>
      </c>
      <c r="L307" s="4">
        <v>2</v>
      </c>
      <c r="M307" s="3">
        <v>0.24</v>
      </c>
      <c r="N307" s="2">
        <v>-402.64</v>
      </c>
    </row>
    <row r="308" spans="1:14" x14ac:dyDescent="0.3">
      <c r="A308" t="s">
        <v>1656</v>
      </c>
      <c r="B308" s="1">
        <v>45002</v>
      </c>
      <c r="C308" t="s">
        <v>1657</v>
      </c>
      <c r="D308" t="s">
        <v>61</v>
      </c>
      <c r="E308" t="s">
        <v>51</v>
      </c>
      <c r="F308" t="s">
        <v>40</v>
      </c>
      <c r="G308" t="s">
        <v>41</v>
      </c>
      <c r="H308" t="s">
        <v>42</v>
      </c>
      <c r="I308" t="s">
        <v>21</v>
      </c>
      <c r="J308" t="s">
        <v>22</v>
      </c>
      <c r="K308" s="2">
        <v>20170.150000000001</v>
      </c>
      <c r="L308" s="4">
        <v>2</v>
      </c>
      <c r="M308" s="3">
        <v>0.22</v>
      </c>
      <c r="N308" s="2">
        <v>-201.7</v>
      </c>
    </row>
    <row r="309" spans="1:14" x14ac:dyDescent="0.3">
      <c r="A309" t="s">
        <v>2016</v>
      </c>
      <c r="B309" s="1">
        <v>45002</v>
      </c>
      <c r="C309" t="s">
        <v>2017</v>
      </c>
      <c r="D309" t="s">
        <v>85</v>
      </c>
      <c r="E309" t="s">
        <v>51</v>
      </c>
      <c r="F309" t="s">
        <v>34</v>
      </c>
      <c r="G309" t="s">
        <v>35</v>
      </c>
      <c r="H309" t="s">
        <v>36</v>
      </c>
      <c r="I309" t="s">
        <v>29</v>
      </c>
      <c r="J309" t="s">
        <v>64</v>
      </c>
      <c r="K309" s="2">
        <v>14165.97</v>
      </c>
      <c r="L309" s="4">
        <v>1</v>
      </c>
      <c r="M309" s="3">
        <v>0.03</v>
      </c>
      <c r="N309" s="2">
        <v>1204.1099999999999</v>
      </c>
    </row>
    <row r="310" spans="1:14" x14ac:dyDescent="0.3">
      <c r="A310" t="s">
        <v>2076</v>
      </c>
      <c r="B310" s="1">
        <v>45002</v>
      </c>
      <c r="C310" t="s">
        <v>295</v>
      </c>
      <c r="D310" t="s">
        <v>16</v>
      </c>
      <c r="E310" t="s">
        <v>17</v>
      </c>
      <c r="F310" t="s">
        <v>79</v>
      </c>
      <c r="G310" t="s">
        <v>80</v>
      </c>
      <c r="H310" t="s">
        <v>47</v>
      </c>
      <c r="I310" t="s">
        <v>29</v>
      </c>
      <c r="J310" t="s">
        <v>37</v>
      </c>
      <c r="K310" s="2">
        <v>6181.92</v>
      </c>
      <c r="L310" s="4">
        <v>6</v>
      </c>
      <c r="M310" s="3">
        <v>0.02</v>
      </c>
      <c r="N310" s="2">
        <v>556.37</v>
      </c>
    </row>
    <row r="311" spans="1:14" x14ac:dyDescent="0.3">
      <c r="A311" t="s">
        <v>1216</v>
      </c>
      <c r="B311" s="1">
        <v>45002</v>
      </c>
      <c r="C311" t="s">
        <v>739</v>
      </c>
      <c r="D311" t="s">
        <v>85</v>
      </c>
      <c r="E311" t="s">
        <v>51</v>
      </c>
      <c r="F311" t="s">
        <v>18</v>
      </c>
      <c r="G311" t="s">
        <v>19</v>
      </c>
      <c r="H311" t="s">
        <v>20</v>
      </c>
      <c r="I311" t="s">
        <v>29</v>
      </c>
      <c r="J311" t="s">
        <v>54</v>
      </c>
      <c r="K311" s="2">
        <v>29740.76</v>
      </c>
      <c r="L311" s="4">
        <v>10</v>
      </c>
      <c r="M311" s="3">
        <v>7.0000000000000007E-2</v>
      </c>
      <c r="N311" s="2">
        <v>1933.15</v>
      </c>
    </row>
    <row r="312" spans="1:14" x14ac:dyDescent="0.3">
      <c r="A312" t="s">
        <v>2098</v>
      </c>
      <c r="B312" s="1">
        <v>45002</v>
      </c>
      <c r="C312" t="s">
        <v>2099</v>
      </c>
      <c r="D312" t="s">
        <v>85</v>
      </c>
      <c r="E312" t="s">
        <v>26</v>
      </c>
      <c r="F312" t="s">
        <v>27</v>
      </c>
      <c r="G312" t="s">
        <v>28</v>
      </c>
      <c r="H312" t="s">
        <v>20</v>
      </c>
      <c r="I312" t="s">
        <v>43</v>
      </c>
      <c r="J312" t="s">
        <v>58</v>
      </c>
      <c r="K312" s="2">
        <v>22785.360000000001</v>
      </c>
      <c r="L312" s="4">
        <v>6</v>
      </c>
      <c r="M312" s="3">
        <v>0.22</v>
      </c>
      <c r="N312" s="2">
        <v>-227.85</v>
      </c>
    </row>
    <row r="313" spans="1:14" x14ac:dyDescent="0.3">
      <c r="A313" t="s">
        <v>957</v>
      </c>
      <c r="B313" s="1">
        <v>45002</v>
      </c>
      <c r="C313" t="s">
        <v>618</v>
      </c>
      <c r="D313" t="s">
        <v>57</v>
      </c>
      <c r="E313" t="s">
        <v>26</v>
      </c>
      <c r="F313" t="s">
        <v>79</v>
      </c>
      <c r="G313" t="s">
        <v>80</v>
      </c>
      <c r="H313" t="s">
        <v>47</v>
      </c>
      <c r="I313" t="s">
        <v>43</v>
      </c>
      <c r="J313" t="s">
        <v>22</v>
      </c>
      <c r="K313" s="2">
        <v>37225.33</v>
      </c>
      <c r="L313" s="4">
        <v>6</v>
      </c>
      <c r="M313" s="3">
        <v>0.27</v>
      </c>
      <c r="N313" s="2">
        <v>-1302.8900000000001</v>
      </c>
    </row>
    <row r="314" spans="1:14" x14ac:dyDescent="0.3">
      <c r="A314" t="s">
        <v>153</v>
      </c>
      <c r="B314" s="1">
        <v>45003</v>
      </c>
      <c r="C314" t="s">
        <v>154</v>
      </c>
      <c r="D314" t="s">
        <v>25</v>
      </c>
      <c r="E314" t="s">
        <v>26</v>
      </c>
      <c r="F314" t="s">
        <v>27</v>
      </c>
      <c r="G314" t="s">
        <v>28</v>
      </c>
      <c r="H314" t="s">
        <v>20</v>
      </c>
      <c r="I314" t="s">
        <v>43</v>
      </c>
      <c r="J314" t="s">
        <v>54</v>
      </c>
      <c r="K314" s="2">
        <v>43596.93</v>
      </c>
      <c r="L314" s="4">
        <v>9</v>
      </c>
      <c r="M314" s="3">
        <v>0.25</v>
      </c>
      <c r="N314" s="2">
        <v>-1089.92</v>
      </c>
    </row>
    <row r="315" spans="1:14" x14ac:dyDescent="0.3">
      <c r="A315" t="s">
        <v>528</v>
      </c>
      <c r="B315" s="1">
        <v>45003</v>
      </c>
      <c r="C315" t="s">
        <v>529</v>
      </c>
      <c r="D315" t="s">
        <v>61</v>
      </c>
      <c r="E315" t="s">
        <v>17</v>
      </c>
      <c r="F315" t="s">
        <v>34</v>
      </c>
      <c r="G315" t="s">
        <v>35</v>
      </c>
      <c r="H315" t="s">
        <v>36</v>
      </c>
      <c r="I315" t="s">
        <v>43</v>
      </c>
      <c r="J315" t="s">
        <v>22</v>
      </c>
      <c r="K315" s="2">
        <v>48562.29</v>
      </c>
      <c r="L315" s="4">
        <v>10</v>
      </c>
      <c r="M315" s="3">
        <v>0.14000000000000001</v>
      </c>
      <c r="N315" s="2">
        <v>1456.87</v>
      </c>
    </row>
    <row r="316" spans="1:14" x14ac:dyDescent="0.3">
      <c r="A316" t="s">
        <v>1873</v>
      </c>
      <c r="B316" s="1">
        <v>45003</v>
      </c>
      <c r="C316" t="s">
        <v>889</v>
      </c>
      <c r="D316" t="s">
        <v>25</v>
      </c>
      <c r="E316" t="s">
        <v>17</v>
      </c>
      <c r="F316" t="s">
        <v>79</v>
      </c>
      <c r="G316" t="s">
        <v>80</v>
      </c>
      <c r="H316" t="s">
        <v>47</v>
      </c>
      <c r="I316" t="s">
        <v>29</v>
      </c>
      <c r="J316" t="s">
        <v>64</v>
      </c>
      <c r="K316" s="2">
        <v>9733.1200000000008</v>
      </c>
      <c r="L316" s="4">
        <v>1</v>
      </c>
      <c r="M316" s="3">
        <v>0.1</v>
      </c>
      <c r="N316" s="2">
        <v>486.66</v>
      </c>
    </row>
    <row r="317" spans="1:14" x14ac:dyDescent="0.3">
      <c r="A317" t="s">
        <v>1941</v>
      </c>
      <c r="B317" s="1">
        <v>45003</v>
      </c>
      <c r="C317" t="s">
        <v>1942</v>
      </c>
      <c r="D317" t="s">
        <v>33</v>
      </c>
      <c r="E317" t="s">
        <v>26</v>
      </c>
      <c r="F317" t="s">
        <v>79</v>
      </c>
      <c r="G317" t="s">
        <v>80</v>
      </c>
      <c r="H317" t="s">
        <v>47</v>
      </c>
      <c r="I317" t="s">
        <v>43</v>
      </c>
      <c r="J317" t="s">
        <v>30</v>
      </c>
      <c r="K317" s="2">
        <v>19606.13</v>
      </c>
      <c r="L317" s="4">
        <v>8</v>
      </c>
      <c r="M317" s="3">
        <v>0.01</v>
      </c>
      <c r="N317" s="2">
        <v>1862.58</v>
      </c>
    </row>
    <row r="318" spans="1:14" x14ac:dyDescent="0.3">
      <c r="A318" t="s">
        <v>1957</v>
      </c>
      <c r="B318" s="1">
        <v>45003</v>
      </c>
      <c r="C318" t="s">
        <v>1958</v>
      </c>
      <c r="D318" t="s">
        <v>25</v>
      </c>
      <c r="E318" t="s">
        <v>17</v>
      </c>
      <c r="F318" t="s">
        <v>18</v>
      </c>
      <c r="G318" t="s">
        <v>19</v>
      </c>
      <c r="H318" t="s">
        <v>20</v>
      </c>
      <c r="I318" t="s">
        <v>29</v>
      </c>
      <c r="J318" t="s">
        <v>30</v>
      </c>
      <c r="K318" s="2">
        <v>17353.18</v>
      </c>
      <c r="L318" s="4">
        <v>3</v>
      </c>
      <c r="M318" s="3">
        <v>0.22</v>
      </c>
      <c r="N318" s="2">
        <v>-173.53</v>
      </c>
    </row>
    <row r="319" spans="1:14" x14ac:dyDescent="0.3">
      <c r="A319" t="s">
        <v>1639</v>
      </c>
      <c r="B319" s="1">
        <v>45003</v>
      </c>
      <c r="C319" t="s">
        <v>645</v>
      </c>
      <c r="D319" t="s">
        <v>16</v>
      </c>
      <c r="E319" t="s">
        <v>26</v>
      </c>
      <c r="F319" t="s">
        <v>40</v>
      </c>
      <c r="G319" t="s">
        <v>41</v>
      </c>
      <c r="H319" t="s">
        <v>42</v>
      </c>
      <c r="I319" t="s">
        <v>43</v>
      </c>
      <c r="J319" t="s">
        <v>54</v>
      </c>
      <c r="K319" s="2">
        <v>36965.99</v>
      </c>
      <c r="L319" s="4">
        <v>7</v>
      </c>
      <c r="M319" s="3">
        <v>0.26</v>
      </c>
      <c r="N319" s="2">
        <v>-1108.98</v>
      </c>
    </row>
    <row r="320" spans="1:14" x14ac:dyDescent="0.3">
      <c r="A320" t="s">
        <v>356</v>
      </c>
      <c r="B320" s="1">
        <v>45003</v>
      </c>
      <c r="C320" t="s">
        <v>357</v>
      </c>
      <c r="D320" t="s">
        <v>57</v>
      </c>
      <c r="E320" t="s">
        <v>26</v>
      </c>
      <c r="F320" t="s">
        <v>40</v>
      </c>
      <c r="G320" t="s">
        <v>41</v>
      </c>
      <c r="H320" t="s">
        <v>42</v>
      </c>
      <c r="I320" t="s">
        <v>29</v>
      </c>
      <c r="J320" t="s">
        <v>64</v>
      </c>
      <c r="K320" s="2">
        <v>16506.490000000002</v>
      </c>
      <c r="L320" s="4">
        <v>9</v>
      </c>
      <c r="M320" s="3">
        <v>0.25</v>
      </c>
      <c r="N320" s="2">
        <v>-412.66</v>
      </c>
    </row>
    <row r="321" spans="1:14" x14ac:dyDescent="0.3">
      <c r="A321" t="s">
        <v>316</v>
      </c>
      <c r="B321" s="1">
        <v>45003</v>
      </c>
      <c r="C321" t="s">
        <v>158</v>
      </c>
      <c r="D321" t="s">
        <v>61</v>
      </c>
      <c r="E321" t="s">
        <v>51</v>
      </c>
      <c r="F321" t="s">
        <v>46</v>
      </c>
      <c r="G321" t="s">
        <v>46</v>
      </c>
      <c r="H321" t="s">
        <v>47</v>
      </c>
      <c r="I321" t="s">
        <v>29</v>
      </c>
      <c r="J321" t="s">
        <v>54</v>
      </c>
      <c r="K321" s="2">
        <v>9495.32</v>
      </c>
      <c r="L321" s="4">
        <v>8</v>
      </c>
      <c r="M321" s="3">
        <v>0.01</v>
      </c>
      <c r="N321" s="2">
        <v>902.06</v>
      </c>
    </row>
    <row r="322" spans="1:14" x14ac:dyDescent="0.3">
      <c r="A322" t="s">
        <v>607</v>
      </c>
      <c r="B322" s="1">
        <v>45004</v>
      </c>
      <c r="C322" t="s">
        <v>608</v>
      </c>
      <c r="D322" t="s">
        <v>57</v>
      </c>
      <c r="E322" t="s">
        <v>51</v>
      </c>
      <c r="F322" t="s">
        <v>40</v>
      </c>
      <c r="G322" t="s">
        <v>41</v>
      </c>
      <c r="H322" t="s">
        <v>42</v>
      </c>
      <c r="I322" t="s">
        <v>29</v>
      </c>
      <c r="J322" t="s">
        <v>64</v>
      </c>
      <c r="K322" s="2">
        <v>18474.32</v>
      </c>
      <c r="L322" s="4">
        <v>10</v>
      </c>
      <c r="M322" s="3">
        <v>0.28000000000000003</v>
      </c>
      <c r="N322" s="2">
        <v>-738.97</v>
      </c>
    </row>
    <row r="323" spans="1:14" x14ac:dyDescent="0.3">
      <c r="A323" t="s">
        <v>899</v>
      </c>
      <c r="B323" s="1">
        <v>45004</v>
      </c>
      <c r="C323" t="s">
        <v>900</v>
      </c>
      <c r="D323" t="s">
        <v>61</v>
      </c>
      <c r="E323" t="s">
        <v>26</v>
      </c>
      <c r="F323" t="s">
        <v>18</v>
      </c>
      <c r="G323" t="s">
        <v>19</v>
      </c>
      <c r="H323" t="s">
        <v>20</v>
      </c>
      <c r="I323" t="s">
        <v>29</v>
      </c>
      <c r="J323" t="s">
        <v>30</v>
      </c>
      <c r="K323" s="2">
        <v>24967.22</v>
      </c>
      <c r="L323" s="4">
        <v>5</v>
      </c>
      <c r="M323" s="3">
        <v>0.09</v>
      </c>
      <c r="N323" s="2">
        <v>1373.2</v>
      </c>
    </row>
    <row r="324" spans="1:14" x14ac:dyDescent="0.3">
      <c r="A324" t="s">
        <v>1778</v>
      </c>
      <c r="B324" s="1">
        <v>45004</v>
      </c>
      <c r="C324" t="s">
        <v>936</v>
      </c>
      <c r="D324" t="s">
        <v>85</v>
      </c>
      <c r="E324" t="s">
        <v>17</v>
      </c>
      <c r="F324" t="s">
        <v>40</v>
      </c>
      <c r="G324" t="s">
        <v>41</v>
      </c>
      <c r="H324" t="s">
        <v>42</v>
      </c>
      <c r="I324" t="s">
        <v>43</v>
      </c>
      <c r="J324" t="s">
        <v>54</v>
      </c>
      <c r="K324" s="2">
        <v>36505.65</v>
      </c>
      <c r="L324" s="4">
        <v>9</v>
      </c>
      <c r="M324" s="3">
        <v>0.22</v>
      </c>
      <c r="N324" s="2">
        <v>-365.06</v>
      </c>
    </row>
    <row r="325" spans="1:14" x14ac:dyDescent="0.3">
      <c r="A325" t="s">
        <v>2008</v>
      </c>
      <c r="B325" s="1">
        <v>45004</v>
      </c>
      <c r="C325" t="s">
        <v>2009</v>
      </c>
      <c r="D325" t="s">
        <v>33</v>
      </c>
      <c r="E325" t="s">
        <v>26</v>
      </c>
      <c r="F325" t="s">
        <v>18</v>
      </c>
      <c r="G325" t="s">
        <v>19</v>
      </c>
      <c r="H325" t="s">
        <v>20</v>
      </c>
      <c r="I325" t="s">
        <v>29</v>
      </c>
      <c r="J325" t="s">
        <v>106</v>
      </c>
      <c r="K325" s="2">
        <v>33050.160000000003</v>
      </c>
      <c r="L325" s="4">
        <v>5</v>
      </c>
      <c r="M325" s="3">
        <v>0.17</v>
      </c>
      <c r="N325" s="2">
        <v>495.75</v>
      </c>
    </row>
    <row r="326" spans="1:14" x14ac:dyDescent="0.3">
      <c r="A326" t="s">
        <v>513</v>
      </c>
      <c r="B326" s="1">
        <v>45005</v>
      </c>
      <c r="C326" t="s">
        <v>503</v>
      </c>
      <c r="D326" t="s">
        <v>16</v>
      </c>
      <c r="E326" t="s">
        <v>26</v>
      </c>
      <c r="F326" t="s">
        <v>79</v>
      </c>
      <c r="G326" t="s">
        <v>80</v>
      </c>
      <c r="H326" t="s">
        <v>47</v>
      </c>
      <c r="I326" t="s">
        <v>29</v>
      </c>
      <c r="J326" t="s">
        <v>30</v>
      </c>
      <c r="K326" s="2">
        <v>18846.28</v>
      </c>
      <c r="L326" s="4">
        <v>9</v>
      </c>
      <c r="M326" s="3">
        <v>0.22</v>
      </c>
      <c r="N326" s="2">
        <v>-188.46</v>
      </c>
    </row>
    <row r="327" spans="1:14" x14ac:dyDescent="0.3">
      <c r="A327" t="s">
        <v>2269</v>
      </c>
      <c r="B327" s="1">
        <v>45005</v>
      </c>
      <c r="C327" t="s">
        <v>2270</v>
      </c>
      <c r="D327" t="s">
        <v>33</v>
      </c>
      <c r="E327" t="s">
        <v>17</v>
      </c>
      <c r="F327" t="s">
        <v>27</v>
      </c>
      <c r="G327" t="s">
        <v>28</v>
      </c>
      <c r="H327" t="s">
        <v>20</v>
      </c>
      <c r="I327" t="s">
        <v>21</v>
      </c>
      <c r="J327" t="s">
        <v>106</v>
      </c>
      <c r="K327" s="2">
        <v>34111.279999999999</v>
      </c>
      <c r="L327" s="4">
        <v>3</v>
      </c>
      <c r="M327" s="3">
        <v>0.21</v>
      </c>
      <c r="N327" s="2">
        <v>-170.56</v>
      </c>
    </row>
    <row r="328" spans="1:14" x14ac:dyDescent="0.3">
      <c r="A328" t="s">
        <v>1280</v>
      </c>
      <c r="B328" s="1">
        <v>45005</v>
      </c>
      <c r="C328" t="s">
        <v>633</v>
      </c>
      <c r="D328" t="s">
        <v>57</v>
      </c>
      <c r="E328" t="s">
        <v>26</v>
      </c>
      <c r="F328" t="s">
        <v>40</v>
      </c>
      <c r="G328" t="s">
        <v>41</v>
      </c>
      <c r="H328" t="s">
        <v>42</v>
      </c>
      <c r="I328" t="s">
        <v>21</v>
      </c>
      <c r="J328" t="s">
        <v>37</v>
      </c>
      <c r="K328" s="2">
        <v>2695.21</v>
      </c>
      <c r="L328" s="4">
        <v>4</v>
      </c>
      <c r="M328" s="3">
        <v>0.14000000000000001</v>
      </c>
      <c r="N328" s="2">
        <v>80.86</v>
      </c>
    </row>
    <row r="329" spans="1:14" x14ac:dyDescent="0.3">
      <c r="A329" t="s">
        <v>743</v>
      </c>
      <c r="B329" s="1">
        <v>45006</v>
      </c>
      <c r="C329" t="s">
        <v>744</v>
      </c>
      <c r="D329" t="s">
        <v>33</v>
      </c>
      <c r="E329" t="s">
        <v>51</v>
      </c>
      <c r="F329" t="s">
        <v>40</v>
      </c>
      <c r="G329" t="s">
        <v>41</v>
      </c>
      <c r="H329" t="s">
        <v>42</v>
      </c>
      <c r="I329" t="s">
        <v>43</v>
      </c>
      <c r="J329" t="s">
        <v>22</v>
      </c>
      <c r="K329" s="2">
        <v>18288.580000000002</v>
      </c>
      <c r="L329" s="4">
        <v>9</v>
      </c>
      <c r="M329" s="3">
        <v>0.09</v>
      </c>
      <c r="N329" s="2">
        <v>1005.87</v>
      </c>
    </row>
    <row r="330" spans="1:14" x14ac:dyDescent="0.3">
      <c r="A330" t="s">
        <v>2238</v>
      </c>
      <c r="B330" s="1">
        <v>45006</v>
      </c>
      <c r="C330" t="s">
        <v>638</v>
      </c>
      <c r="D330" t="s">
        <v>85</v>
      </c>
      <c r="E330" t="s">
        <v>17</v>
      </c>
      <c r="F330" t="s">
        <v>18</v>
      </c>
      <c r="G330" t="s">
        <v>19</v>
      </c>
      <c r="H330" t="s">
        <v>20</v>
      </c>
      <c r="I330" t="s">
        <v>29</v>
      </c>
      <c r="J330" t="s">
        <v>22</v>
      </c>
      <c r="K330" s="2">
        <v>36997.43</v>
      </c>
      <c r="L330" s="4">
        <v>3</v>
      </c>
      <c r="M330" s="3">
        <v>0.16</v>
      </c>
      <c r="N330" s="2">
        <v>739.95</v>
      </c>
    </row>
    <row r="331" spans="1:14" x14ac:dyDescent="0.3">
      <c r="A331" t="s">
        <v>2219</v>
      </c>
      <c r="B331" s="1">
        <v>45006</v>
      </c>
      <c r="C331" t="s">
        <v>2220</v>
      </c>
      <c r="D331" t="s">
        <v>85</v>
      </c>
      <c r="E331" t="s">
        <v>51</v>
      </c>
      <c r="F331" t="s">
        <v>79</v>
      </c>
      <c r="G331" t="s">
        <v>80</v>
      </c>
      <c r="H331" t="s">
        <v>47</v>
      </c>
      <c r="I331" t="s">
        <v>43</v>
      </c>
      <c r="J331" t="s">
        <v>54</v>
      </c>
      <c r="K331" s="2">
        <v>16212.45</v>
      </c>
      <c r="L331" s="4">
        <v>6</v>
      </c>
      <c r="M331" s="3">
        <v>0.25</v>
      </c>
      <c r="N331" s="2">
        <v>-405.31</v>
      </c>
    </row>
    <row r="332" spans="1:14" x14ac:dyDescent="0.3">
      <c r="A332" t="s">
        <v>742</v>
      </c>
      <c r="B332" s="1">
        <v>45007</v>
      </c>
      <c r="C332" t="s">
        <v>535</v>
      </c>
      <c r="D332" t="s">
        <v>85</v>
      </c>
      <c r="E332" t="s">
        <v>51</v>
      </c>
      <c r="F332" t="s">
        <v>18</v>
      </c>
      <c r="G332" t="s">
        <v>19</v>
      </c>
      <c r="H332" t="s">
        <v>20</v>
      </c>
      <c r="I332" t="s">
        <v>29</v>
      </c>
      <c r="J332" t="s">
        <v>30</v>
      </c>
      <c r="K332" s="2">
        <v>31435.71</v>
      </c>
      <c r="L332" s="4">
        <v>6</v>
      </c>
      <c r="M332" s="3">
        <v>0.28000000000000003</v>
      </c>
      <c r="N332" s="2">
        <v>-1257.43</v>
      </c>
    </row>
    <row r="333" spans="1:14" x14ac:dyDescent="0.3">
      <c r="A333" t="s">
        <v>2182</v>
      </c>
      <c r="B333" s="1">
        <v>45007</v>
      </c>
      <c r="C333" t="s">
        <v>49</v>
      </c>
      <c r="D333" t="s">
        <v>50</v>
      </c>
      <c r="E333" t="s">
        <v>51</v>
      </c>
      <c r="F333" t="s">
        <v>40</v>
      </c>
      <c r="G333" t="s">
        <v>41</v>
      </c>
      <c r="H333" t="s">
        <v>42</v>
      </c>
      <c r="I333" t="s">
        <v>29</v>
      </c>
      <c r="J333" t="s">
        <v>106</v>
      </c>
      <c r="K333" s="2">
        <v>24288.55</v>
      </c>
      <c r="L333" s="4">
        <v>4</v>
      </c>
      <c r="M333" s="3">
        <v>0.09</v>
      </c>
      <c r="N333" s="2">
        <v>1335.87</v>
      </c>
    </row>
    <row r="334" spans="1:14" x14ac:dyDescent="0.3">
      <c r="A334" t="s">
        <v>1803</v>
      </c>
      <c r="B334" s="1">
        <v>45007</v>
      </c>
      <c r="C334" t="s">
        <v>1147</v>
      </c>
      <c r="D334" t="s">
        <v>16</v>
      </c>
      <c r="E334" t="s">
        <v>26</v>
      </c>
      <c r="F334" t="s">
        <v>18</v>
      </c>
      <c r="G334" t="s">
        <v>19</v>
      </c>
      <c r="H334" t="s">
        <v>20</v>
      </c>
      <c r="I334" t="s">
        <v>29</v>
      </c>
      <c r="J334" t="s">
        <v>37</v>
      </c>
      <c r="K334" s="2">
        <v>24269.02</v>
      </c>
      <c r="L334" s="4">
        <v>2</v>
      </c>
      <c r="M334" s="3">
        <v>0.24</v>
      </c>
      <c r="N334" s="2">
        <v>-485.38</v>
      </c>
    </row>
    <row r="335" spans="1:14" x14ac:dyDescent="0.3">
      <c r="A335" t="s">
        <v>1302</v>
      </c>
      <c r="B335" s="1">
        <v>45007</v>
      </c>
      <c r="C335" t="s">
        <v>1303</v>
      </c>
      <c r="D335" t="s">
        <v>85</v>
      </c>
      <c r="E335" t="s">
        <v>51</v>
      </c>
      <c r="F335" t="s">
        <v>18</v>
      </c>
      <c r="G335" t="s">
        <v>19</v>
      </c>
      <c r="H335" t="s">
        <v>20</v>
      </c>
      <c r="I335" t="s">
        <v>29</v>
      </c>
      <c r="J335" t="s">
        <v>22</v>
      </c>
      <c r="K335" s="2">
        <v>5660.88</v>
      </c>
      <c r="L335" s="4">
        <v>1</v>
      </c>
      <c r="M335" s="3">
        <v>0.05</v>
      </c>
      <c r="N335" s="2">
        <v>424.57</v>
      </c>
    </row>
    <row r="336" spans="1:14" x14ac:dyDescent="0.3">
      <c r="A336" t="s">
        <v>1310</v>
      </c>
      <c r="B336" s="1">
        <v>45008</v>
      </c>
      <c r="C336" t="s">
        <v>1311</v>
      </c>
      <c r="D336" t="s">
        <v>16</v>
      </c>
      <c r="E336" t="s">
        <v>51</v>
      </c>
      <c r="F336" t="s">
        <v>40</v>
      </c>
      <c r="G336" t="s">
        <v>41</v>
      </c>
      <c r="H336" t="s">
        <v>42</v>
      </c>
      <c r="I336" t="s">
        <v>43</v>
      </c>
      <c r="J336" t="s">
        <v>22</v>
      </c>
      <c r="K336" s="2">
        <v>18496.37</v>
      </c>
      <c r="L336" s="4">
        <v>6</v>
      </c>
      <c r="M336" s="3">
        <v>0.23</v>
      </c>
      <c r="N336" s="2">
        <v>-277.45</v>
      </c>
    </row>
    <row r="337" spans="1:14" x14ac:dyDescent="0.3">
      <c r="A337" t="s">
        <v>1969</v>
      </c>
      <c r="B337" s="1">
        <v>45008</v>
      </c>
      <c r="C337" t="s">
        <v>1970</v>
      </c>
      <c r="D337" t="s">
        <v>85</v>
      </c>
      <c r="E337" t="s">
        <v>26</v>
      </c>
      <c r="F337" t="s">
        <v>40</v>
      </c>
      <c r="G337" t="s">
        <v>41</v>
      </c>
      <c r="H337" t="s">
        <v>42</v>
      </c>
      <c r="I337" t="s">
        <v>43</v>
      </c>
      <c r="J337" t="s">
        <v>54</v>
      </c>
      <c r="K337" s="2">
        <v>42799.26</v>
      </c>
      <c r="L337" s="4">
        <v>8</v>
      </c>
      <c r="M337" s="3">
        <v>0.02</v>
      </c>
      <c r="N337" s="2">
        <v>3851.93</v>
      </c>
    </row>
    <row r="338" spans="1:14" x14ac:dyDescent="0.3">
      <c r="A338" t="s">
        <v>2193</v>
      </c>
      <c r="B338" s="1">
        <v>45008</v>
      </c>
      <c r="C338" t="s">
        <v>1462</v>
      </c>
      <c r="D338" t="s">
        <v>57</v>
      </c>
      <c r="E338" t="s">
        <v>51</v>
      </c>
      <c r="F338" t="s">
        <v>27</v>
      </c>
      <c r="G338" t="s">
        <v>28</v>
      </c>
      <c r="H338" t="s">
        <v>20</v>
      </c>
      <c r="I338" t="s">
        <v>21</v>
      </c>
      <c r="J338" t="s">
        <v>64</v>
      </c>
      <c r="K338" s="2">
        <v>16077.7</v>
      </c>
      <c r="L338" s="4">
        <v>7</v>
      </c>
      <c r="M338" s="3">
        <v>0.01</v>
      </c>
      <c r="N338" s="2">
        <v>1527.38</v>
      </c>
    </row>
    <row r="339" spans="1:14" x14ac:dyDescent="0.3">
      <c r="A339" t="s">
        <v>1870</v>
      </c>
      <c r="B339" s="1">
        <v>45008</v>
      </c>
      <c r="C339" t="s">
        <v>1833</v>
      </c>
      <c r="D339" t="s">
        <v>57</v>
      </c>
      <c r="E339" t="s">
        <v>26</v>
      </c>
      <c r="F339" t="s">
        <v>34</v>
      </c>
      <c r="G339" t="s">
        <v>35</v>
      </c>
      <c r="H339" t="s">
        <v>36</v>
      </c>
      <c r="I339" t="s">
        <v>43</v>
      </c>
      <c r="J339" t="s">
        <v>64</v>
      </c>
      <c r="K339" s="2">
        <v>20376.57</v>
      </c>
      <c r="L339" s="4">
        <v>5</v>
      </c>
      <c r="M339" s="3">
        <v>0.12</v>
      </c>
      <c r="N339" s="2">
        <v>815.06</v>
      </c>
    </row>
    <row r="340" spans="1:14" x14ac:dyDescent="0.3">
      <c r="A340" t="s">
        <v>142</v>
      </c>
      <c r="B340" s="1">
        <v>45008</v>
      </c>
      <c r="C340" t="s">
        <v>143</v>
      </c>
      <c r="D340" t="s">
        <v>25</v>
      </c>
      <c r="E340" t="s">
        <v>51</v>
      </c>
      <c r="F340" t="s">
        <v>18</v>
      </c>
      <c r="G340" t="s">
        <v>19</v>
      </c>
      <c r="H340" t="s">
        <v>20</v>
      </c>
      <c r="I340" t="s">
        <v>21</v>
      </c>
      <c r="J340" t="s">
        <v>37</v>
      </c>
      <c r="K340" s="2">
        <v>40873.08</v>
      </c>
      <c r="L340" s="4">
        <v>10</v>
      </c>
      <c r="M340" s="3">
        <v>0.2</v>
      </c>
      <c r="N340" s="2">
        <v>0</v>
      </c>
    </row>
    <row r="341" spans="1:14" x14ac:dyDescent="0.3">
      <c r="A341" t="s">
        <v>1789</v>
      </c>
      <c r="B341" s="1">
        <v>45008</v>
      </c>
      <c r="C341" t="s">
        <v>962</v>
      </c>
      <c r="D341" t="s">
        <v>57</v>
      </c>
      <c r="E341" t="s">
        <v>26</v>
      </c>
      <c r="F341" t="s">
        <v>18</v>
      </c>
      <c r="G341" t="s">
        <v>19</v>
      </c>
      <c r="H341" t="s">
        <v>20</v>
      </c>
      <c r="I341" t="s">
        <v>43</v>
      </c>
      <c r="J341" t="s">
        <v>106</v>
      </c>
      <c r="K341" s="2">
        <v>48485.36</v>
      </c>
      <c r="L341" s="4">
        <v>1</v>
      </c>
      <c r="M341" s="3">
        <v>0.2</v>
      </c>
      <c r="N341" s="2">
        <v>0</v>
      </c>
    </row>
    <row r="342" spans="1:14" x14ac:dyDescent="0.3">
      <c r="A342" t="s">
        <v>1000</v>
      </c>
      <c r="B342" s="1">
        <v>45009</v>
      </c>
      <c r="C342" t="s">
        <v>1001</v>
      </c>
      <c r="D342" t="s">
        <v>61</v>
      </c>
      <c r="E342" t="s">
        <v>17</v>
      </c>
      <c r="F342" t="s">
        <v>40</v>
      </c>
      <c r="G342" t="s">
        <v>41</v>
      </c>
      <c r="H342" t="s">
        <v>42</v>
      </c>
      <c r="I342" t="s">
        <v>29</v>
      </c>
      <c r="J342" t="s">
        <v>106</v>
      </c>
      <c r="K342" s="2">
        <v>5642.6</v>
      </c>
      <c r="L342" s="4">
        <v>2</v>
      </c>
      <c r="M342" s="3">
        <v>0.21</v>
      </c>
      <c r="N342" s="2">
        <v>-28.21</v>
      </c>
    </row>
    <row r="343" spans="1:14" x14ac:dyDescent="0.3">
      <c r="A343" t="s">
        <v>2104</v>
      </c>
      <c r="B343" s="1">
        <v>45009</v>
      </c>
      <c r="C343" t="s">
        <v>2105</v>
      </c>
      <c r="D343" t="s">
        <v>85</v>
      </c>
      <c r="E343" t="s">
        <v>26</v>
      </c>
      <c r="F343" t="s">
        <v>34</v>
      </c>
      <c r="G343" t="s">
        <v>35</v>
      </c>
      <c r="H343" t="s">
        <v>36</v>
      </c>
      <c r="I343" t="s">
        <v>21</v>
      </c>
      <c r="J343" t="s">
        <v>64</v>
      </c>
      <c r="K343" s="2">
        <v>15700.73</v>
      </c>
      <c r="L343" s="4">
        <v>3</v>
      </c>
      <c r="M343" s="3">
        <v>0.28999999999999998</v>
      </c>
      <c r="N343" s="2">
        <v>-706.53</v>
      </c>
    </row>
    <row r="344" spans="1:14" x14ac:dyDescent="0.3">
      <c r="A344" t="s">
        <v>1254</v>
      </c>
      <c r="B344" s="1">
        <v>45009</v>
      </c>
      <c r="C344" t="s">
        <v>53</v>
      </c>
      <c r="D344" t="s">
        <v>50</v>
      </c>
      <c r="E344" t="s">
        <v>17</v>
      </c>
      <c r="F344" t="s">
        <v>79</v>
      </c>
      <c r="G344" t="s">
        <v>80</v>
      </c>
      <c r="H344" t="s">
        <v>47</v>
      </c>
      <c r="I344" t="s">
        <v>43</v>
      </c>
      <c r="J344" t="s">
        <v>54</v>
      </c>
      <c r="K344" s="2">
        <v>22757.41</v>
      </c>
      <c r="L344" s="4">
        <v>10</v>
      </c>
      <c r="M344" s="3">
        <v>0.1</v>
      </c>
      <c r="N344" s="2">
        <v>1137.8699999999999</v>
      </c>
    </row>
    <row r="345" spans="1:14" x14ac:dyDescent="0.3">
      <c r="A345" t="s">
        <v>785</v>
      </c>
      <c r="B345" s="1">
        <v>45010</v>
      </c>
      <c r="C345" t="s">
        <v>786</v>
      </c>
      <c r="D345" t="s">
        <v>85</v>
      </c>
      <c r="E345" t="s">
        <v>51</v>
      </c>
      <c r="F345" t="s">
        <v>46</v>
      </c>
      <c r="G345" t="s">
        <v>46</v>
      </c>
      <c r="H345" t="s">
        <v>47</v>
      </c>
      <c r="I345" t="s">
        <v>21</v>
      </c>
      <c r="J345" t="s">
        <v>37</v>
      </c>
      <c r="K345" s="2">
        <v>10933.01</v>
      </c>
      <c r="L345" s="4">
        <v>8</v>
      </c>
      <c r="M345" s="3">
        <v>0.27</v>
      </c>
      <c r="N345" s="2">
        <v>-382.66</v>
      </c>
    </row>
    <row r="346" spans="1:14" x14ac:dyDescent="0.3">
      <c r="A346" t="s">
        <v>1049</v>
      </c>
      <c r="B346" s="1">
        <v>45010</v>
      </c>
      <c r="C346" t="s">
        <v>1050</v>
      </c>
      <c r="D346" t="s">
        <v>85</v>
      </c>
      <c r="E346" t="s">
        <v>17</v>
      </c>
      <c r="F346" t="s">
        <v>18</v>
      </c>
      <c r="G346" t="s">
        <v>19</v>
      </c>
      <c r="H346" t="s">
        <v>20</v>
      </c>
      <c r="I346" t="s">
        <v>29</v>
      </c>
      <c r="J346" t="s">
        <v>37</v>
      </c>
      <c r="K346" s="2">
        <v>19278.95</v>
      </c>
      <c r="L346" s="4">
        <v>7</v>
      </c>
      <c r="M346" s="3">
        <v>0.26</v>
      </c>
      <c r="N346" s="2">
        <v>-578.37</v>
      </c>
    </row>
    <row r="347" spans="1:14" x14ac:dyDescent="0.3">
      <c r="A347" t="s">
        <v>1572</v>
      </c>
      <c r="B347" s="1">
        <v>45010</v>
      </c>
      <c r="C347" t="s">
        <v>708</v>
      </c>
      <c r="D347" t="s">
        <v>33</v>
      </c>
      <c r="E347" t="s">
        <v>17</v>
      </c>
      <c r="F347" t="s">
        <v>34</v>
      </c>
      <c r="G347" t="s">
        <v>35</v>
      </c>
      <c r="H347" t="s">
        <v>36</v>
      </c>
      <c r="I347" t="s">
        <v>21</v>
      </c>
      <c r="J347" t="s">
        <v>106</v>
      </c>
      <c r="K347" s="2">
        <v>42181.85</v>
      </c>
      <c r="L347" s="4">
        <v>1</v>
      </c>
      <c r="M347" s="3">
        <v>0.01</v>
      </c>
      <c r="N347" s="2">
        <v>4007.28</v>
      </c>
    </row>
    <row r="348" spans="1:14" x14ac:dyDescent="0.3">
      <c r="A348" t="s">
        <v>75</v>
      </c>
      <c r="B348" s="1">
        <v>45011</v>
      </c>
      <c r="C348" t="s">
        <v>76</v>
      </c>
      <c r="D348" t="s">
        <v>61</v>
      </c>
      <c r="E348" t="s">
        <v>51</v>
      </c>
      <c r="F348" t="s">
        <v>34</v>
      </c>
      <c r="G348" t="s">
        <v>35</v>
      </c>
      <c r="H348" t="s">
        <v>36</v>
      </c>
      <c r="I348" t="s">
        <v>21</v>
      </c>
      <c r="J348" t="s">
        <v>54</v>
      </c>
      <c r="K348" s="2">
        <v>21857.25</v>
      </c>
      <c r="L348" s="4">
        <v>8</v>
      </c>
      <c r="M348" s="3">
        <v>0.05</v>
      </c>
      <c r="N348" s="2">
        <v>1639.29</v>
      </c>
    </row>
    <row r="349" spans="1:14" x14ac:dyDescent="0.3">
      <c r="A349" t="s">
        <v>1125</v>
      </c>
      <c r="B349" s="1">
        <v>45011</v>
      </c>
      <c r="C349" t="s">
        <v>168</v>
      </c>
      <c r="D349" t="s">
        <v>33</v>
      </c>
      <c r="E349" t="s">
        <v>51</v>
      </c>
      <c r="F349" t="s">
        <v>46</v>
      </c>
      <c r="G349" t="s">
        <v>46</v>
      </c>
      <c r="H349" t="s">
        <v>47</v>
      </c>
      <c r="I349" t="s">
        <v>21</v>
      </c>
      <c r="J349" t="s">
        <v>22</v>
      </c>
      <c r="K349" s="2">
        <v>23279.39</v>
      </c>
      <c r="L349" s="4">
        <v>5</v>
      </c>
      <c r="M349" s="3">
        <v>0</v>
      </c>
      <c r="N349" s="2">
        <v>2327.94</v>
      </c>
    </row>
    <row r="350" spans="1:14" x14ac:dyDescent="0.3">
      <c r="A350" t="s">
        <v>1273</v>
      </c>
      <c r="B350" s="1">
        <v>45011</v>
      </c>
      <c r="C350" t="s">
        <v>1274</v>
      </c>
      <c r="D350" t="s">
        <v>85</v>
      </c>
      <c r="E350" t="s">
        <v>51</v>
      </c>
      <c r="F350" t="s">
        <v>46</v>
      </c>
      <c r="G350" t="s">
        <v>46</v>
      </c>
      <c r="H350" t="s">
        <v>47</v>
      </c>
      <c r="I350" t="s">
        <v>29</v>
      </c>
      <c r="J350" t="s">
        <v>22</v>
      </c>
      <c r="K350" s="2">
        <v>24178.73</v>
      </c>
      <c r="L350" s="4">
        <v>1</v>
      </c>
      <c r="M350" s="3">
        <v>0.02</v>
      </c>
      <c r="N350" s="2">
        <v>2176.09</v>
      </c>
    </row>
    <row r="351" spans="1:14" x14ac:dyDescent="0.3">
      <c r="A351" t="s">
        <v>1308</v>
      </c>
      <c r="B351" s="1">
        <v>45012</v>
      </c>
      <c r="C351" t="s">
        <v>1309</v>
      </c>
      <c r="D351" t="s">
        <v>33</v>
      </c>
      <c r="E351" t="s">
        <v>51</v>
      </c>
      <c r="F351" t="s">
        <v>34</v>
      </c>
      <c r="G351" t="s">
        <v>35</v>
      </c>
      <c r="H351" t="s">
        <v>36</v>
      </c>
      <c r="I351" t="s">
        <v>29</v>
      </c>
      <c r="J351" t="s">
        <v>22</v>
      </c>
      <c r="K351" s="2">
        <v>41939.25</v>
      </c>
      <c r="L351" s="4">
        <v>7</v>
      </c>
      <c r="M351" s="3">
        <v>0.3</v>
      </c>
      <c r="N351" s="2">
        <v>-2096.96</v>
      </c>
    </row>
    <row r="352" spans="1:14" x14ac:dyDescent="0.3">
      <c r="A352" t="s">
        <v>1947</v>
      </c>
      <c r="B352" s="1">
        <v>45012</v>
      </c>
      <c r="C352" t="s">
        <v>1948</v>
      </c>
      <c r="D352" t="s">
        <v>61</v>
      </c>
      <c r="E352" t="s">
        <v>26</v>
      </c>
      <c r="F352" t="s">
        <v>34</v>
      </c>
      <c r="G352" t="s">
        <v>35</v>
      </c>
      <c r="H352" t="s">
        <v>36</v>
      </c>
      <c r="I352" t="s">
        <v>21</v>
      </c>
      <c r="J352" t="s">
        <v>54</v>
      </c>
      <c r="K352" s="2">
        <v>735.2</v>
      </c>
      <c r="L352" s="4">
        <v>9</v>
      </c>
      <c r="M352" s="3">
        <v>0.02</v>
      </c>
      <c r="N352" s="2">
        <v>66.17</v>
      </c>
    </row>
    <row r="353" spans="1:14" x14ac:dyDescent="0.3">
      <c r="A353" t="s">
        <v>2111</v>
      </c>
      <c r="B353" s="1">
        <v>45012</v>
      </c>
      <c r="C353" t="s">
        <v>1991</v>
      </c>
      <c r="D353" t="s">
        <v>61</v>
      </c>
      <c r="E353" t="s">
        <v>26</v>
      </c>
      <c r="F353" t="s">
        <v>40</v>
      </c>
      <c r="G353" t="s">
        <v>41</v>
      </c>
      <c r="H353" t="s">
        <v>42</v>
      </c>
      <c r="I353" t="s">
        <v>43</v>
      </c>
      <c r="J353" t="s">
        <v>37</v>
      </c>
      <c r="K353" s="2">
        <v>4870.32</v>
      </c>
      <c r="L353" s="4">
        <v>8</v>
      </c>
      <c r="M353" s="3">
        <v>0.01</v>
      </c>
      <c r="N353" s="2">
        <v>462.68</v>
      </c>
    </row>
    <row r="354" spans="1:14" x14ac:dyDescent="0.3">
      <c r="A354" t="s">
        <v>1477</v>
      </c>
      <c r="B354" s="1">
        <v>45012</v>
      </c>
      <c r="C354" t="s">
        <v>429</v>
      </c>
      <c r="D354" t="s">
        <v>50</v>
      </c>
      <c r="E354" t="s">
        <v>51</v>
      </c>
      <c r="F354" t="s">
        <v>79</v>
      </c>
      <c r="G354" t="s">
        <v>80</v>
      </c>
      <c r="H354" t="s">
        <v>47</v>
      </c>
      <c r="I354" t="s">
        <v>29</v>
      </c>
      <c r="J354" t="s">
        <v>30</v>
      </c>
      <c r="K354" s="2">
        <v>28771.31</v>
      </c>
      <c r="L354" s="4">
        <v>3</v>
      </c>
      <c r="M354" s="3">
        <v>0.2</v>
      </c>
      <c r="N354" s="2">
        <v>0</v>
      </c>
    </row>
    <row r="355" spans="1:14" x14ac:dyDescent="0.3">
      <c r="A355" t="s">
        <v>330</v>
      </c>
      <c r="B355" s="1">
        <v>45013</v>
      </c>
      <c r="C355" t="s">
        <v>331</v>
      </c>
      <c r="D355" t="s">
        <v>61</v>
      </c>
      <c r="E355" t="s">
        <v>17</v>
      </c>
      <c r="F355" t="s">
        <v>40</v>
      </c>
      <c r="G355" t="s">
        <v>41</v>
      </c>
      <c r="H355" t="s">
        <v>42</v>
      </c>
      <c r="I355" t="s">
        <v>29</v>
      </c>
      <c r="J355" t="s">
        <v>64</v>
      </c>
      <c r="K355" s="2">
        <v>17593.2</v>
      </c>
      <c r="L355" s="4">
        <v>2</v>
      </c>
      <c r="M355" s="3">
        <v>0.16</v>
      </c>
      <c r="N355" s="2">
        <v>351.86</v>
      </c>
    </row>
    <row r="356" spans="1:14" x14ac:dyDescent="0.3">
      <c r="A356" t="s">
        <v>901</v>
      </c>
      <c r="B356" s="1">
        <v>45013</v>
      </c>
      <c r="C356" t="s">
        <v>645</v>
      </c>
      <c r="D356" t="s">
        <v>16</v>
      </c>
      <c r="E356" t="s">
        <v>17</v>
      </c>
      <c r="F356" t="s">
        <v>46</v>
      </c>
      <c r="G356" t="s">
        <v>46</v>
      </c>
      <c r="H356" t="s">
        <v>47</v>
      </c>
      <c r="I356" t="s">
        <v>21</v>
      </c>
      <c r="J356" t="s">
        <v>22</v>
      </c>
      <c r="K356" s="2">
        <v>26630.02</v>
      </c>
      <c r="L356" s="4">
        <v>3</v>
      </c>
      <c r="M356" s="3">
        <v>0.1</v>
      </c>
      <c r="N356" s="2">
        <v>1331.5</v>
      </c>
    </row>
    <row r="357" spans="1:14" x14ac:dyDescent="0.3">
      <c r="A357" t="s">
        <v>1322</v>
      </c>
      <c r="B357" s="1">
        <v>45013</v>
      </c>
      <c r="C357" t="s">
        <v>218</v>
      </c>
      <c r="D357" t="s">
        <v>61</v>
      </c>
      <c r="E357" t="s">
        <v>51</v>
      </c>
      <c r="F357" t="s">
        <v>18</v>
      </c>
      <c r="G357" t="s">
        <v>19</v>
      </c>
      <c r="H357" t="s">
        <v>20</v>
      </c>
      <c r="I357" t="s">
        <v>43</v>
      </c>
      <c r="J357" t="s">
        <v>30</v>
      </c>
      <c r="K357" s="2">
        <v>23481.62</v>
      </c>
      <c r="L357" s="4">
        <v>5</v>
      </c>
      <c r="M357" s="3">
        <v>0.04</v>
      </c>
      <c r="N357" s="2">
        <v>1878.53</v>
      </c>
    </row>
    <row r="358" spans="1:14" x14ac:dyDescent="0.3">
      <c r="A358" t="s">
        <v>1788</v>
      </c>
      <c r="B358" s="1">
        <v>45013</v>
      </c>
      <c r="C358" t="s">
        <v>1063</v>
      </c>
      <c r="D358" t="s">
        <v>85</v>
      </c>
      <c r="E358" t="s">
        <v>17</v>
      </c>
      <c r="F358" t="s">
        <v>18</v>
      </c>
      <c r="G358" t="s">
        <v>19</v>
      </c>
      <c r="H358" t="s">
        <v>20</v>
      </c>
      <c r="I358" t="s">
        <v>43</v>
      </c>
      <c r="J358" t="s">
        <v>64</v>
      </c>
      <c r="K358" s="2">
        <v>49395.519999999997</v>
      </c>
      <c r="L358" s="4">
        <v>1</v>
      </c>
      <c r="M358" s="3">
        <v>0.22</v>
      </c>
      <c r="N358" s="2">
        <v>-493.96</v>
      </c>
    </row>
    <row r="359" spans="1:14" x14ac:dyDescent="0.3">
      <c r="A359" t="s">
        <v>451</v>
      </c>
      <c r="B359" s="1">
        <v>45014</v>
      </c>
      <c r="C359" t="s">
        <v>307</v>
      </c>
      <c r="D359" t="s">
        <v>85</v>
      </c>
      <c r="E359" t="s">
        <v>26</v>
      </c>
      <c r="F359" t="s">
        <v>27</v>
      </c>
      <c r="G359" t="s">
        <v>28</v>
      </c>
      <c r="H359" t="s">
        <v>20</v>
      </c>
      <c r="I359" t="s">
        <v>29</v>
      </c>
      <c r="J359" t="s">
        <v>64</v>
      </c>
      <c r="K359" s="2">
        <v>7811.21</v>
      </c>
      <c r="L359" s="4">
        <v>4</v>
      </c>
      <c r="M359" s="3">
        <v>0.14000000000000001</v>
      </c>
      <c r="N359" s="2">
        <v>234.34</v>
      </c>
    </row>
    <row r="360" spans="1:14" x14ac:dyDescent="0.3">
      <c r="A360" t="s">
        <v>1168</v>
      </c>
      <c r="B360" s="1">
        <v>45014</v>
      </c>
      <c r="C360" t="s">
        <v>505</v>
      </c>
      <c r="D360" t="s">
        <v>16</v>
      </c>
      <c r="E360" t="s">
        <v>17</v>
      </c>
      <c r="F360" t="s">
        <v>40</v>
      </c>
      <c r="G360" t="s">
        <v>41</v>
      </c>
      <c r="H360" t="s">
        <v>42</v>
      </c>
      <c r="I360" t="s">
        <v>43</v>
      </c>
      <c r="J360" t="s">
        <v>58</v>
      </c>
      <c r="K360" s="2">
        <v>14778.73</v>
      </c>
      <c r="L360" s="4">
        <v>9</v>
      </c>
      <c r="M360" s="3">
        <v>0.21</v>
      </c>
      <c r="N360" s="2">
        <v>-73.89</v>
      </c>
    </row>
    <row r="361" spans="1:14" x14ac:dyDescent="0.3">
      <c r="A361" t="s">
        <v>1874</v>
      </c>
      <c r="B361" s="1">
        <v>45014</v>
      </c>
      <c r="C361" t="s">
        <v>730</v>
      </c>
      <c r="D361" t="s">
        <v>57</v>
      </c>
      <c r="E361" t="s">
        <v>51</v>
      </c>
      <c r="F361" t="s">
        <v>18</v>
      </c>
      <c r="G361" t="s">
        <v>19</v>
      </c>
      <c r="H361" t="s">
        <v>20</v>
      </c>
      <c r="I361" t="s">
        <v>29</v>
      </c>
      <c r="J361" t="s">
        <v>106</v>
      </c>
      <c r="K361" s="2">
        <v>35936.36</v>
      </c>
      <c r="L361" s="4">
        <v>1</v>
      </c>
      <c r="M361" s="3">
        <v>0.11</v>
      </c>
      <c r="N361" s="2">
        <v>1617.14</v>
      </c>
    </row>
    <row r="362" spans="1:14" x14ac:dyDescent="0.3">
      <c r="A362" t="s">
        <v>1010</v>
      </c>
      <c r="B362" s="1">
        <v>45014</v>
      </c>
      <c r="C362" t="s">
        <v>695</v>
      </c>
      <c r="D362" t="s">
        <v>85</v>
      </c>
      <c r="E362" t="s">
        <v>17</v>
      </c>
      <c r="F362" t="s">
        <v>34</v>
      </c>
      <c r="G362" t="s">
        <v>35</v>
      </c>
      <c r="H362" t="s">
        <v>36</v>
      </c>
      <c r="I362" t="s">
        <v>43</v>
      </c>
      <c r="J362" t="s">
        <v>106</v>
      </c>
      <c r="K362" s="2">
        <v>42724.35</v>
      </c>
      <c r="L362" s="4">
        <v>2</v>
      </c>
      <c r="M362" s="3">
        <v>0.19</v>
      </c>
      <c r="N362" s="2">
        <v>213.62</v>
      </c>
    </row>
    <row r="363" spans="1:14" x14ac:dyDescent="0.3">
      <c r="A363" t="s">
        <v>1729</v>
      </c>
      <c r="B363" s="1">
        <v>45015</v>
      </c>
      <c r="C363" t="s">
        <v>1730</v>
      </c>
      <c r="D363" t="s">
        <v>16</v>
      </c>
      <c r="E363" t="s">
        <v>26</v>
      </c>
      <c r="F363" t="s">
        <v>79</v>
      </c>
      <c r="G363" t="s">
        <v>80</v>
      </c>
      <c r="H363" t="s">
        <v>47</v>
      </c>
      <c r="I363" t="s">
        <v>43</v>
      </c>
      <c r="J363" t="s">
        <v>54</v>
      </c>
      <c r="K363" s="2">
        <v>763.92</v>
      </c>
      <c r="L363" s="4">
        <v>5</v>
      </c>
      <c r="M363" s="3">
        <v>0.02</v>
      </c>
      <c r="N363" s="2">
        <v>68.75</v>
      </c>
    </row>
    <row r="364" spans="1:14" x14ac:dyDescent="0.3">
      <c r="A364" t="s">
        <v>1845</v>
      </c>
      <c r="B364" s="1">
        <v>45015</v>
      </c>
      <c r="C364" t="s">
        <v>643</v>
      </c>
      <c r="D364" t="s">
        <v>57</v>
      </c>
      <c r="E364" t="s">
        <v>26</v>
      </c>
      <c r="F364" t="s">
        <v>18</v>
      </c>
      <c r="G364" t="s">
        <v>19</v>
      </c>
      <c r="H364" t="s">
        <v>20</v>
      </c>
      <c r="I364" t="s">
        <v>43</v>
      </c>
      <c r="J364" t="s">
        <v>106</v>
      </c>
      <c r="K364" s="2">
        <v>30237.41</v>
      </c>
      <c r="L364" s="4">
        <v>3</v>
      </c>
      <c r="M364" s="3">
        <v>0.19</v>
      </c>
      <c r="N364" s="2">
        <v>151.19</v>
      </c>
    </row>
    <row r="365" spans="1:14" x14ac:dyDescent="0.3">
      <c r="A365" t="s">
        <v>2045</v>
      </c>
      <c r="B365" s="1">
        <v>45015</v>
      </c>
      <c r="C365" t="s">
        <v>938</v>
      </c>
      <c r="D365" t="s">
        <v>25</v>
      </c>
      <c r="E365" t="s">
        <v>51</v>
      </c>
      <c r="F365" t="s">
        <v>46</v>
      </c>
      <c r="G365" t="s">
        <v>46</v>
      </c>
      <c r="H365" t="s">
        <v>47</v>
      </c>
      <c r="I365" t="s">
        <v>21</v>
      </c>
      <c r="J365" t="s">
        <v>64</v>
      </c>
      <c r="K365" s="2">
        <v>20931.79</v>
      </c>
      <c r="L365" s="4">
        <v>4</v>
      </c>
      <c r="M365" s="3">
        <v>0.28999999999999998</v>
      </c>
      <c r="N365" s="2">
        <v>-941.93</v>
      </c>
    </row>
    <row r="366" spans="1:14" x14ac:dyDescent="0.3">
      <c r="A366" t="s">
        <v>1407</v>
      </c>
      <c r="B366" s="1">
        <v>45016</v>
      </c>
      <c r="C366" t="s">
        <v>686</v>
      </c>
      <c r="D366" t="s">
        <v>85</v>
      </c>
      <c r="E366" t="s">
        <v>51</v>
      </c>
      <c r="F366" t="s">
        <v>18</v>
      </c>
      <c r="G366" t="s">
        <v>19</v>
      </c>
      <c r="H366" t="s">
        <v>20</v>
      </c>
      <c r="I366" t="s">
        <v>21</v>
      </c>
      <c r="J366" t="s">
        <v>37</v>
      </c>
      <c r="K366" s="2">
        <v>25276.240000000002</v>
      </c>
      <c r="L366" s="4">
        <v>9</v>
      </c>
      <c r="M366" s="3">
        <v>0.06</v>
      </c>
      <c r="N366" s="2">
        <v>1769.34</v>
      </c>
    </row>
    <row r="367" spans="1:14" x14ac:dyDescent="0.3">
      <c r="A367" t="s">
        <v>1853</v>
      </c>
      <c r="B367" s="1">
        <v>45016</v>
      </c>
      <c r="C367" t="s">
        <v>1854</v>
      </c>
      <c r="D367" t="s">
        <v>50</v>
      </c>
      <c r="E367" t="s">
        <v>17</v>
      </c>
      <c r="F367" t="s">
        <v>79</v>
      </c>
      <c r="G367" t="s">
        <v>80</v>
      </c>
      <c r="H367" t="s">
        <v>47</v>
      </c>
      <c r="I367" t="s">
        <v>29</v>
      </c>
      <c r="J367" t="s">
        <v>64</v>
      </c>
      <c r="K367" s="2">
        <v>10762.71</v>
      </c>
      <c r="L367" s="4">
        <v>8</v>
      </c>
      <c r="M367" s="3">
        <v>0.1</v>
      </c>
      <c r="N367" s="2">
        <v>538.14</v>
      </c>
    </row>
    <row r="368" spans="1:14" x14ac:dyDescent="0.3">
      <c r="A368" t="s">
        <v>952</v>
      </c>
      <c r="B368" s="1">
        <v>45016</v>
      </c>
      <c r="C368" t="s">
        <v>134</v>
      </c>
      <c r="D368" t="s">
        <v>57</v>
      </c>
      <c r="E368" t="s">
        <v>51</v>
      </c>
      <c r="F368" t="s">
        <v>27</v>
      </c>
      <c r="G368" t="s">
        <v>28</v>
      </c>
      <c r="H368" t="s">
        <v>20</v>
      </c>
      <c r="I368" t="s">
        <v>43</v>
      </c>
      <c r="J368" t="s">
        <v>37</v>
      </c>
      <c r="K368" s="2">
        <v>40799.65</v>
      </c>
      <c r="L368" s="4">
        <v>1</v>
      </c>
      <c r="M368" s="3">
        <v>0.01</v>
      </c>
      <c r="N368" s="2">
        <v>3875.97</v>
      </c>
    </row>
    <row r="369" spans="1:14" x14ac:dyDescent="0.3">
      <c r="A369" t="s">
        <v>226</v>
      </c>
      <c r="B369" s="1">
        <v>45016</v>
      </c>
      <c r="C369" t="s">
        <v>227</v>
      </c>
      <c r="D369" t="s">
        <v>16</v>
      </c>
      <c r="E369" t="s">
        <v>51</v>
      </c>
      <c r="F369" t="s">
        <v>18</v>
      </c>
      <c r="G369" t="s">
        <v>19</v>
      </c>
      <c r="H369" t="s">
        <v>20</v>
      </c>
      <c r="I369" t="s">
        <v>29</v>
      </c>
      <c r="J369" t="s">
        <v>30</v>
      </c>
      <c r="K369" s="2">
        <v>1440.46</v>
      </c>
      <c r="L369" s="4">
        <v>2</v>
      </c>
      <c r="M369" s="3">
        <v>0.3</v>
      </c>
      <c r="N369" s="2">
        <v>-72.02</v>
      </c>
    </row>
    <row r="370" spans="1:14" x14ac:dyDescent="0.3">
      <c r="A370" t="s">
        <v>1187</v>
      </c>
      <c r="B370" s="1">
        <v>45017</v>
      </c>
      <c r="C370" t="s">
        <v>878</v>
      </c>
      <c r="D370" t="s">
        <v>85</v>
      </c>
      <c r="E370" t="s">
        <v>51</v>
      </c>
      <c r="F370" t="s">
        <v>79</v>
      </c>
      <c r="G370" t="s">
        <v>80</v>
      </c>
      <c r="H370" t="s">
        <v>47</v>
      </c>
      <c r="I370" t="s">
        <v>21</v>
      </c>
      <c r="J370" t="s">
        <v>37</v>
      </c>
      <c r="K370" s="2">
        <v>27776.61</v>
      </c>
      <c r="L370" s="4">
        <v>8</v>
      </c>
      <c r="M370" s="3">
        <v>0.11</v>
      </c>
      <c r="N370" s="2">
        <v>1249.95</v>
      </c>
    </row>
    <row r="371" spans="1:14" x14ac:dyDescent="0.3">
      <c r="A371" t="s">
        <v>1682</v>
      </c>
      <c r="B371" s="1">
        <v>45017</v>
      </c>
      <c r="C371" t="s">
        <v>693</v>
      </c>
      <c r="D371" t="s">
        <v>25</v>
      </c>
      <c r="E371" t="s">
        <v>17</v>
      </c>
      <c r="F371" t="s">
        <v>46</v>
      </c>
      <c r="G371" t="s">
        <v>46</v>
      </c>
      <c r="H371" t="s">
        <v>47</v>
      </c>
      <c r="I371" t="s">
        <v>21</v>
      </c>
      <c r="J371" t="s">
        <v>58</v>
      </c>
      <c r="K371" s="2">
        <v>24943.79</v>
      </c>
      <c r="L371" s="4">
        <v>4</v>
      </c>
      <c r="M371" s="3">
        <v>0.01</v>
      </c>
      <c r="N371" s="2">
        <v>2369.66</v>
      </c>
    </row>
    <row r="372" spans="1:14" x14ac:dyDescent="0.3">
      <c r="A372" t="s">
        <v>1715</v>
      </c>
      <c r="B372" s="1">
        <v>45017</v>
      </c>
      <c r="C372" t="s">
        <v>415</v>
      </c>
      <c r="D372" t="s">
        <v>57</v>
      </c>
      <c r="E372" t="s">
        <v>51</v>
      </c>
      <c r="F372" t="s">
        <v>34</v>
      </c>
      <c r="G372" t="s">
        <v>35</v>
      </c>
      <c r="H372" t="s">
        <v>36</v>
      </c>
      <c r="I372" t="s">
        <v>29</v>
      </c>
      <c r="J372" t="s">
        <v>106</v>
      </c>
      <c r="K372" s="2">
        <v>47980.26</v>
      </c>
      <c r="L372" s="4">
        <v>3</v>
      </c>
      <c r="M372" s="3">
        <v>0.08</v>
      </c>
      <c r="N372" s="2">
        <v>2878.82</v>
      </c>
    </row>
    <row r="373" spans="1:14" x14ac:dyDescent="0.3">
      <c r="A373" t="s">
        <v>52</v>
      </c>
      <c r="B373" s="1">
        <v>45017</v>
      </c>
      <c r="C373" t="s">
        <v>53</v>
      </c>
      <c r="D373" t="s">
        <v>25</v>
      </c>
      <c r="E373" t="s">
        <v>26</v>
      </c>
      <c r="F373" t="s">
        <v>27</v>
      </c>
      <c r="G373" t="s">
        <v>28</v>
      </c>
      <c r="H373" t="s">
        <v>20</v>
      </c>
      <c r="I373" t="s">
        <v>21</v>
      </c>
      <c r="J373" t="s">
        <v>54</v>
      </c>
      <c r="K373" s="2">
        <v>30188.16</v>
      </c>
      <c r="L373" s="4">
        <v>9</v>
      </c>
      <c r="M373" s="3">
        <v>0.17</v>
      </c>
      <c r="N373" s="2">
        <v>452.82</v>
      </c>
    </row>
    <row r="374" spans="1:14" x14ac:dyDescent="0.3">
      <c r="A374" t="s">
        <v>127</v>
      </c>
      <c r="B374" s="1">
        <v>45018</v>
      </c>
      <c r="C374" t="s">
        <v>128</v>
      </c>
      <c r="D374" t="s">
        <v>25</v>
      </c>
      <c r="E374" t="s">
        <v>26</v>
      </c>
      <c r="F374" t="s">
        <v>18</v>
      </c>
      <c r="G374" t="s">
        <v>19</v>
      </c>
      <c r="H374" t="s">
        <v>20</v>
      </c>
      <c r="I374" t="s">
        <v>43</v>
      </c>
      <c r="J374" t="s">
        <v>64</v>
      </c>
      <c r="K374" s="2">
        <v>20759.18</v>
      </c>
      <c r="L374" s="4">
        <v>6</v>
      </c>
      <c r="M374" s="3">
        <v>0.13</v>
      </c>
      <c r="N374" s="2">
        <v>726.57</v>
      </c>
    </row>
    <row r="375" spans="1:14" x14ac:dyDescent="0.3">
      <c r="A375" t="s">
        <v>482</v>
      </c>
      <c r="B375" s="1">
        <v>45018</v>
      </c>
      <c r="C375" t="s">
        <v>176</v>
      </c>
      <c r="D375" t="s">
        <v>25</v>
      </c>
      <c r="E375" t="s">
        <v>17</v>
      </c>
      <c r="F375" t="s">
        <v>46</v>
      </c>
      <c r="G375" t="s">
        <v>46</v>
      </c>
      <c r="H375" t="s">
        <v>47</v>
      </c>
      <c r="I375" t="s">
        <v>21</v>
      </c>
      <c r="J375" t="s">
        <v>64</v>
      </c>
      <c r="K375" s="2">
        <v>14358.26</v>
      </c>
      <c r="L375" s="4">
        <v>7</v>
      </c>
      <c r="M375" s="3">
        <v>0.01</v>
      </c>
      <c r="N375" s="2">
        <v>1364.03</v>
      </c>
    </row>
    <row r="376" spans="1:14" x14ac:dyDescent="0.3">
      <c r="A376" t="s">
        <v>561</v>
      </c>
      <c r="B376" s="1">
        <v>45018</v>
      </c>
      <c r="C376" t="s">
        <v>562</v>
      </c>
      <c r="D376" t="s">
        <v>33</v>
      </c>
      <c r="E376" t="s">
        <v>51</v>
      </c>
      <c r="F376" t="s">
        <v>34</v>
      </c>
      <c r="G376" t="s">
        <v>35</v>
      </c>
      <c r="H376" t="s">
        <v>36</v>
      </c>
      <c r="I376" t="s">
        <v>43</v>
      </c>
      <c r="J376" t="s">
        <v>22</v>
      </c>
      <c r="K376" s="2">
        <v>41087.85</v>
      </c>
      <c r="L376" s="4">
        <v>8</v>
      </c>
      <c r="M376" s="3">
        <v>0.03</v>
      </c>
      <c r="N376" s="2">
        <v>3492.47</v>
      </c>
    </row>
    <row r="377" spans="1:14" x14ac:dyDescent="0.3">
      <c r="A377" t="s">
        <v>1189</v>
      </c>
      <c r="B377" s="1">
        <v>45018</v>
      </c>
      <c r="C377" t="s">
        <v>1190</v>
      </c>
      <c r="D377" t="s">
        <v>33</v>
      </c>
      <c r="E377" t="s">
        <v>17</v>
      </c>
      <c r="F377" t="s">
        <v>79</v>
      </c>
      <c r="G377" t="s">
        <v>80</v>
      </c>
      <c r="H377" t="s">
        <v>47</v>
      </c>
      <c r="I377" t="s">
        <v>21</v>
      </c>
      <c r="J377" t="s">
        <v>22</v>
      </c>
      <c r="K377" s="2">
        <v>1107.94</v>
      </c>
      <c r="L377" s="4">
        <v>2</v>
      </c>
      <c r="M377" s="3">
        <v>0.14000000000000001</v>
      </c>
      <c r="N377" s="2">
        <v>33.24</v>
      </c>
    </row>
    <row r="378" spans="1:14" x14ac:dyDescent="0.3">
      <c r="A378" t="s">
        <v>1512</v>
      </c>
      <c r="B378" s="1">
        <v>45018</v>
      </c>
      <c r="C378" t="s">
        <v>624</v>
      </c>
      <c r="D378" t="s">
        <v>33</v>
      </c>
      <c r="E378" t="s">
        <v>26</v>
      </c>
      <c r="F378" t="s">
        <v>34</v>
      </c>
      <c r="G378" t="s">
        <v>35</v>
      </c>
      <c r="H378" t="s">
        <v>36</v>
      </c>
      <c r="I378" t="s">
        <v>21</v>
      </c>
      <c r="J378" t="s">
        <v>54</v>
      </c>
      <c r="K378" s="2">
        <v>966.55</v>
      </c>
      <c r="L378" s="4">
        <v>8</v>
      </c>
      <c r="M378" s="3">
        <v>0.25</v>
      </c>
      <c r="N378" s="2">
        <v>-24.16</v>
      </c>
    </row>
    <row r="379" spans="1:14" x14ac:dyDescent="0.3">
      <c r="A379" t="s">
        <v>1126</v>
      </c>
      <c r="B379" s="1">
        <v>45019</v>
      </c>
      <c r="C379" t="s">
        <v>1127</v>
      </c>
      <c r="D379" t="s">
        <v>16</v>
      </c>
      <c r="E379" t="s">
        <v>26</v>
      </c>
      <c r="F379" t="s">
        <v>79</v>
      </c>
      <c r="G379" t="s">
        <v>80</v>
      </c>
      <c r="H379" t="s">
        <v>47</v>
      </c>
      <c r="I379" t="s">
        <v>43</v>
      </c>
      <c r="J379" t="s">
        <v>106</v>
      </c>
      <c r="K379" s="2">
        <v>43906.31</v>
      </c>
      <c r="L379" s="4">
        <v>4</v>
      </c>
      <c r="M379" s="3">
        <v>0.03</v>
      </c>
      <c r="N379" s="2">
        <v>3732.04</v>
      </c>
    </row>
    <row r="380" spans="1:14" x14ac:dyDescent="0.3">
      <c r="A380" t="s">
        <v>1902</v>
      </c>
      <c r="B380" s="1">
        <v>45019</v>
      </c>
      <c r="C380" t="s">
        <v>134</v>
      </c>
      <c r="D380" t="s">
        <v>61</v>
      </c>
      <c r="E380" t="s">
        <v>51</v>
      </c>
      <c r="F380" t="s">
        <v>34</v>
      </c>
      <c r="G380" t="s">
        <v>35</v>
      </c>
      <c r="H380" t="s">
        <v>36</v>
      </c>
      <c r="I380" t="s">
        <v>43</v>
      </c>
      <c r="J380" t="s">
        <v>54</v>
      </c>
      <c r="K380" s="2">
        <v>44736.62</v>
      </c>
      <c r="L380" s="4">
        <v>8</v>
      </c>
      <c r="M380" s="3">
        <v>0.06</v>
      </c>
      <c r="N380" s="2">
        <v>3131.56</v>
      </c>
    </row>
    <row r="381" spans="1:14" x14ac:dyDescent="0.3">
      <c r="A381" t="s">
        <v>1286</v>
      </c>
      <c r="B381" s="1">
        <v>45020</v>
      </c>
      <c r="C381" t="s">
        <v>1287</v>
      </c>
      <c r="D381" t="s">
        <v>25</v>
      </c>
      <c r="E381" t="s">
        <v>17</v>
      </c>
      <c r="F381" t="s">
        <v>79</v>
      </c>
      <c r="G381" t="s">
        <v>80</v>
      </c>
      <c r="H381" t="s">
        <v>47</v>
      </c>
      <c r="I381" t="s">
        <v>43</v>
      </c>
      <c r="J381" t="s">
        <v>37</v>
      </c>
      <c r="K381" s="2">
        <v>31505.7</v>
      </c>
      <c r="L381" s="4">
        <v>5</v>
      </c>
      <c r="M381" s="3">
        <v>7.0000000000000007E-2</v>
      </c>
      <c r="N381" s="2">
        <v>2047.87</v>
      </c>
    </row>
    <row r="382" spans="1:14" x14ac:dyDescent="0.3">
      <c r="A382" t="s">
        <v>727</v>
      </c>
      <c r="B382" s="1">
        <v>45020</v>
      </c>
      <c r="C382" t="s">
        <v>728</v>
      </c>
      <c r="D382" t="s">
        <v>16</v>
      </c>
      <c r="E382" t="s">
        <v>51</v>
      </c>
      <c r="F382" t="s">
        <v>18</v>
      </c>
      <c r="G382" t="s">
        <v>19</v>
      </c>
      <c r="H382" t="s">
        <v>20</v>
      </c>
      <c r="I382" t="s">
        <v>21</v>
      </c>
      <c r="J382" t="s">
        <v>58</v>
      </c>
      <c r="K382" s="2">
        <v>47706.51</v>
      </c>
      <c r="L382" s="4">
        <v>8</v>
      </c>
      <c r="M382" s="3">
        <v>0.15</v>
      </c>
      <c r="N382" s="2">
        <v>1192.6600000000001</v>
      </c>
    </row>
    <row r="383" spans="1:14" x14ac:dyDescent="0.3">
      <c r="A383" t="s">
        <v>903</v>
      </c>
      <c r="B383" s="1">
        <v>45021</v>
      </c>
      <c r="C383" t="s">
        <v>904</v>
      </c>
      <c r="D383" t="s">
        <v>57</v>
      </c>
      <c r="E383" t="s">
        <v>17</v>
      </c>
      <c r="F383" t="s">
        <v>34</v>
      </c>
      <c r="G383" t="s">
        <v>35</v>
      </c>
      <c r="H383" t="s">
        <v>36</v>
      </c>
      <c r="I383" t="s">
        <v>43</v>
      </c>
      <c r="J383" t="s">
        <v>58</v>
      </c>
      <c r="K383" s="2">
        <v>23776.01</v>
      </c>
      <c r="L383" s="4">
        <v>6</v>
      </c>
      <c r="M383" s="3">
        <v>0.15</v>
      </c>
      <c r="N383" s="2">
        <v>594.4</v>
      </c>
    </row>
    <row r="384" spans="1:14" x14ac:dyDescent="0.3">
      <c r="A384" t="s">
        <v>2226</v>
      </c>
      <c r="B384" s="1">
        <v>45021</v>
      </c>
      <c r="C384" t="s">
        <v>427</v>
      </c>
      <c r="D384" t="s">
        <v>61</v>
      </c>
      <c r="E384" t="s">
        <v>26</v>
      </c>
      <c r="F384" t="s">
        <v>40</v>
      </c>
      <c r="G384" t="s">
        <v>41</v>
      </c>
      <c r="H384" t="s">
        <v>42</v>
      </c>
      <c r="I384" t="s">
        <v>43</v>
      </c>
      <c r="J384" t="s">
        <v>37</v>
      </c>
      <c r="K384" s="2">
        <v>5614.29</v>
      </c>
      <c r="L384" s="4">
        <v>3</v>
      </c>
      <c r="M384" s="3">
        <v>0.19</v>
      </c>
      <c r="N384" s="2">
        <v>28.07</v>
      </c>
    </row>
    <row r="385" spans="1:14" x14ac:dyDescent="0.3">
      <c r="A385" t="s">
        <v>848</v>
      </c>
      <c r="B385" s="1">
        <v>45021</v>
      </c>
      <c r="C385" t="s">
        <v>202</v>
      </c>
      <c r="D385" t="s">
        <v>25</v>
      </c>
      <c r="E385" t="s">
        <v>51</v>
      </c>
      <c r="F385" t="s">
        <v>46</v>
      </c>
      <c r="G385" t="s">
        <v>46</v>
      </c>
      <c r="H385" t="s">
        <v>47</v>
      </c>
      <c r="I385" t="s">
        <v>21</v>
      </c>
      <c r="J385" t="s">
        <v>106</v>
      </c>
      <c r="K385" s="2">
        <v>38091.86</v>
      </c>
      <c r="L385" s="4">
        <v>3</v>
      </c>
      <c r="M385" s="3">
        <v>0.08</v>
      </c>
      <c r="N385" s="2">
        <v>2285.5100000000002</v>
      </c>
    </row>
    <row r="386" spans="1:14" x14ac:dyDescent="0.3">
      <c r="A386" t="s">
        <v>1936</v>
      </c>
      <c r="B386" s="1">
        <v>45021</v>
      </c>
      <c r="C386" t="s">
        <v>1937</v>
      </c>
      <c r="D386" t="s">
        <v>85</v>
      </c>
      <c r="E386" t="s">
        <v>51</v>
      </c>
      <c r="F386" t="s">
        <v>34</v>
      </c>
      <c r="G386" t="s">
        <v>35</v>
      </c>
      <c r="H386" t="s">
        <v>36</v>
      </c>
      <c r="I386" t="s">
        <v>21</v>
      </c>
      <c r="J386" t="s">
        <v>58</v>
      </c>
      <c r="K386" s="2">
        <v>33517.83</v>
      </c>
      <c r="L386" s="4">
        <v>6</v>
      </c>
      <c r="M386" s="3">
        <v>0.15</v>
      </c>
      <c r="N386" s="2">
        <v>837.95</v>
      </c>
    </row>
    <row r="387" spans="1:14" x14ac:dyDescent="0.3">
      <c r="A387" t="s">
        <v>221</v>
      </c>
      <c r="B387" s="1">
        <v>45022</v>
      </c>
      <c r="C387" t="s">
        <v>220</v>
      </c>
      <c r="D387" t="s">
        <v>16</v>
      </c>
      <c r="E387" t="s">
        <v>17</v>
      </c>
      <c r="F387" t="s">
        <v>27</v>
      </c>
      <c r="G387" t="s">
        <v>28</v>
      </c>
      <c r="H387" t="s">
        <v>20</v>
      </c>
      <c r="I387" t="s">
        <v>21</v>
      </c>
      <c r="J387" t="s">
        <v>64</v>
      </c>
      <c r="K387" s="2">
        <v>28174.34</v>
      </c>
      <c r="L387" s="4">
        <v>2</v>
      </c>
      <c r="M387" s="3">
        <v>0.28000000000000003</v>
      </c>
      <c r="N387" s="2">
        <v>-1126.97</v>
      </c>
    </row>
    <row r="388" spans="1:14" x14ac:dyDescent="0.3">
      <c r="A388" t="s">
        <v>1469</v>
      </c>
      <c r="B388" s="1">
        <v>45022</v>
      </c>
      <c r="C388" t="s">
        <v>1470</v>
      </c>
      <c r="D388" t="s">
        <v>25</v>
      </c>
      <c r="E388" t="s">
        <v>51</v>
      </c>
      <c r="F388" t="s">
        <v>40</v>
      </c>
      <c r="G388" t="s">
        <v>41</v>
      </c>
      <c r="H388" t="s">
        <v>42</v>
      </c>
      <c r="I388" t="s">
        <v>21</v>
      </c>
      <c r="J388" t="s">
        <v>106</v>
      </c>
      <c r="K388" s="2">
        <v>10918.33</v>
      </c>
      <c r="L388" s="4">
        <v>5</v>
      </c>
      <c r="M388" s="3">
        <v>0.17</v>
      </c>
      <c r="N388" s="2">
        <v>163.77000000000001</v>
      </c>
    </row>
    <row r="389" spans="1:14" x14ac:dyDescent="0.3">
      <c r="A389" t="s">
        <v>2154</v>
      </c>
      <c r="B389" s="1">
        <v>45022</v>
      </c>
      <c r="C389" t="s">
        <v>1311</v>
      </c>
      <c r="D389" t="s">
        <v>16</v>
      </c>
      <c r="E389" t="s">
        <v>26</v>
      </c>
      <c r="F389" t="s">
        <v>79</v>
      </c>
      <c r="G389" t="s">
        <v>80</v>
      </c>
      <c r="H389" t="s">
        <v>47</v>
      </c>
      <c r="I389" t="s">
        <v>21</v>
      </c>
      <c r="J389" t="s">
        <v>37</v>
      </c>
      <c r="K389" s="2">
        <v>23634.92</v>
      </c>
      <c r="L389" s="4">
        <v>6</v>
      </c>
      <c r="M389" s="3">
        <v>0.04</v>
      </c>
      <c r="N389" s="2">
        <v>1890.79</v>
      </c>
    </row>
    <row r="390" spans="1:14" x14ac:dyDescent="0.3">
      <c r="A390" t="s">
        <v>835</v>
      </c>
      <c r="B390" s="1">
        <v>45023</v>
      </c>
      <c r="C390" t="s">
        <v>836</v>
      </c>
      <c r="D390" t="s">
        <v>50</v>
      </c>
      <c r="E390" t="s">
        <v>17</v>
      </c>
      <c r="F390" t="s">
        <v>40</v>
      </c>
      <c r="G390" t="s">
        <v>41</v>
      </c>
      <c r="H390" t="s">
        <v>42</v>
      </c>
      <c r="I390" t="s">
        <v>21</v>
      </c>
      <c r="J390" t="s">
        <v>22</v>
      </c>
      <c r="K390" s="2">
        <v>10902.53</v>
      </c>
      <c r="L390" s="4">
        <v>10</v>
      </c>
      <c r="M390" s="3">
        <v>0.02</v>
      </c>
      <c r="N390" s="2">
        <v>981.23</v>
      </c>
    </row>
    <row r="391" spans="1:14" x14ac:dyDescent="0.3">
      <c r="A391" t="s">
        <v>2198</v>
      </c>
      <c r="B391" s="1">
        <v>45023</v>
      </c>
      <c r="C391" t="s">
        <v>188</v>
      </c>
      <c r="D391" t="s">
        <v>25</v>
      </c>
      <c r="E391" t="s">
        <v>26</v>
      </c>
      <c r="F391" t="s">
        <v>34</v>
      </c>
      <c r="G391" t="s">
        <v>35</v>
      </c>
      <c r="H391" t="s">
        <v>36</v>
      </c>
      <c r="I391" t="s">
        <v>29</v>
      </c>
      <c r="J391" t="s">
        <v>64</v>
      </c>
      <c r="K391" s="2">
        <v>11991.68</v>
      </c>
      <c r="L391" s="4">
        <v>1</v>
      </c>
      <c r="M391" s="3">
        <v>0.21</v>
      </c>
      <c r="N391" s="2">
        <v>-59.96</v>
      </c>
    </row>
    <row r="392" spans="1:14" x14ac:dyDescent="0.3">
      <c r="A392" t="s">
        <v>701</v>
      </c>
      <c r="B392" s="1">
        <v>45023</v>
      </c>
      <c r="C392" t="s">
        <v>702</v>
      </c>
      <c r="D392" t="s">
        <v>16</v>
      </c>
      <c r="E392" t="s">
        <v>17</v>
      </c>
      <c r="F392" t="s">
        <v>18</v>
      </c>
      <c r="G392" t="s">
        <v>19</v>
      </c>
      <c r="H392" t="s">
        <v>20</v>
      </c>
      <c r="I392" t="s">
        <v>43</v>
      </c>
      <c r="J392" t="s">
        <v>37</v>
      </c>
      <c r="K392" s="2">
        <v>23074.57</v>
      </c>
      <c r="L392" s="4">
        <v>9</v>
      </c>
      <c r="M392" s="3">
        <v>0.18</v>
      </c>
      <c r="N392" s="2">
        <v>230.75</v>
      </c>
    </row>
    <row r="393" spans="1:14" x14ac:dyDescent="0.3">
      <c r="A393" t="s">
        <v>2132</v>
      </c>
      <c r="B393" s="1">
        <v>45023</v>
      </c>
      <c r="C393" t="s">
        <v>2133</v>
      </c>
      <c r="D393" t="s">
        <v>16</v>
      </c>
      <c r="E393" t="s">
        <v>51</v>
      </c>
      <c r="F393" t="s">
        <v>79</v>
      </c>
      <c r="G393" t="s">
        <v>80</v>
      </c>
      <c r="H393" t="s">
        <v>47</v>
      </c>
      <c r="I393" t="s">
        <v>43</v>
      </c>
      <c r="J393" t="s">
        <v>58</v>
      </c>
      <c r="K393" s="2">
        <v>38473.599999999999</v>
      </c>
      <c r="L393" s="4">
        <v>6</v>
      </c>
      <c r="M393" s="3">
        <v>0.11</v>
      </c>
      <c r="N393" s="2">
        <v>1731.31</v>
      </c>
    </row>
    <row r="394" spans="1:14" x14ac:dyDescent="0.3">
      <c r="A394" t="s">
        <v>2215</v>
      </c>
      <c r="B394" s="1">
        <v>45023</v>
      </c>
      <c r="C394" t="s">
        <v>60</v>
      </c>
      <c r="D394" t="s">
        <v>50</v>
      </c>
      <c r="E394" t="s">
        <v>51</v>
      </c>
      <c r="F394" t="s">
        <v>79</v>
      </c>
      <c r="G394" t="s">
        <v>80</v>
      </c>
      <c r="H394" t="s">
        <v>47</v>
      </c>
      <c r="I394" t="s">
        <v>43</v>
      </c>
      <c r="J394" t="s">
        <v>58</v>
      </c>
      <c r="K394" s="2">
        <v>49050.37</v>
      </c>
      <c r="L394" s="4">
        <v>5</v>
      </c>
      <c r="M394" s="3">
        <v>0.09</v>
      </c>
      <c r="N394" s="2">
        <v>2697.77</v>
      </c>
    </row>
    <row r="395" spans="1:14" x14ac:dyDescent="0.3">
      <c r="A395" t="s">
        <v>456</v>
      </c>
      <c r="B395" s="1">
        <v>45023</v>
      </c>
      <c r="C395" t="s">
        <v>188</v>
      </c>
      <c r="D395" t="s">
        <v>16</v>
      </c>
      <c r="E395" t="s">
        <v>17</v>
      </c>
      <c r="F395" t="s">
        <v>18</v>
      </c>
      <c r="G395" t="s">
        <v>19</v>
      </c>
      <c r="H395" t="s">
        <v>20</v>
      </c>
      <c r="I395" t="s">
        <v>43</v>
      </c>
      <c r="J395" t="s">
        <v>30</v>
      </c>
      <c r="K395" s="2">
        <v>11096.72</v>
      </c>
      <c r="L395" s="4">
        <v>1</v>
      </c>
      <c r="M395" s="3">
        <v>0.28999999999999998</v>
      </c>
      <c r="N395" s="2">
        <v>-499.35</v>
      </c>
    </row>
    <row r="396" spans="1:14" x14ac:dyDescent="0.3">
      <c r="A396" t="s">
        <v>137</v>
      </c>
      <c r="B396" s="1">
        <v>45024</v>
      </c>
      <c r="C396" t="s">
        <v>138</v>
      </c>
      <c r="D396" t="s">
        <v>61</v>
      </c>
      <c r="E396" t="s">
        <v>51</v>
      </c>
      <c r="F396" t="s">
        <v>79</v>
      </c>
      <c r="G396" t="s">
        <v>80</v>
      </c>
      <c r="H396" t="s">
        <v>47</v>
      </c>
      <c r="I396" t="s">
        <v>43</v>
      </c>
      <c r="J396" t="s">
        <v>30</v>
      </c>
      <c r="K396" s="2">
        <v>38462.79</v>
      </c>
      <c r="L396" s="4">
        <v>3</v>
      </c>
      <c r="M396" s="3">
        <v>7.0000000000000007E-2</v>
      </c>
      <c r="N396" s="2">
        <v>2500.08</v>
      </c>
    </row>
    <row r="397" spans="1:14" x14ac:dyDescent="0.3">
      <c r="A397" t="s">
        <v>654</v>
      </c>
      <c r="B397" s="1">
        <v>45024</v>
      </c>
      <c r="C397" t="s">
        <v>460</v>
      </c>
      <c r="D397" t="s">
        <v>25</v>
      </c>
      <c r="E397" t="s">
        <v>51</v>
      </c>
      <c r="F397" t="s">
        <v>34</v>
      </c>
      <c r="G397" t="s">
        <v>35</v>
      </c>
      <c r="H397" t="s">
        <v>36</v>
      </c>
      <c r="I397" t="s">
        <v>43</v>
      </c>
      <c r="J397" t="s">
        <v>54</v>
      </c>
      <c r="K397" s="2">
        <v>6505.1</v>
      </c>
      <c r="L397" s="4">
        <v>8</v>
      </c>
      <c r="M397" s="3">
        <v>0.09</v>
      </c>
      <c r="N397" s="2">
        <v>357.78</v>
      </c>
    </row>
    <row r="398" spans="1:14" x14ac:dyDescent="0.3">
      <c r="A398" t="s">
        <v>1032</v>
      </c>
      <c r="B398" s="1">
        <v>45024</v>
      </c>
      <c r="C398" t="s">
        <v>1033</v>
      </c>
      <c r="D398" t="s">
        <v>61</v>
      </c>
      <c r="E398" t="s">
        <v>51</v>
      </c>
      <c r="F398" t="s">
        <v>79</v>
      </c>
      <c r="G398" t="s">
        <v>80</v>
      </c>
      <c r="H398" t="s">
        <v>47</v>
      </c>
      <c r="I398" t="s">
        <v>29</v>
      </c>
      <c r="J398" t="s">
        <v>64</v>
      </c>
      <c r="K398" s="2">
        <v>31697.42</v>
      </c>
      <c r="L398" s="4">
        <v>7</v>
      </c>
      <c r="M398" s="3">
        <v>0.04</v>
      </c>
      <c r="N398" s="2">
        <v>2535.79</v>
      </c>
    </row>
    <row r="399" spans="1:14" x14ac:dyDescent="0.3">
      <c r="A399" t="s">
        <v>1697</v>
      </c>
      <c r="B399" s="1">
        <v>45024</v>
      </c>
      <c r="C399" t="s">
        <v>290</v>
      </c>
      <c r="D399" t="s">
        <v>16</v>
      </c>
      <c r="E399" t="s">
        <v>26</v>
      </c>
      <c r="F399" t="s">
        <v>18</v>
      </c>
      <c r="G399" t="s">
        <v>19</v>
      </c>
      <c r="H399" t="s">
        <v>20</v>
      </c>
      <c r="I399" t="s">
        <v>43</v>
      </c>
      <c r="J399" t="s">
        <v>37</v>
      </c>
      <c r="K399" s="2">
        <v>48579.199999999997</v>
      </c>
      <c r="L399" s="4">
        <v>3</v>
      </c>
      <c r="M399" s="3">
        <v>0.14000000000000001</v>
      </c>
      <c r="N399" s="2">
        <v>1457.38</v>
      </c>
    </row>
    <row r="400" spans="1:14" x14ac:dyDescent="0.3">
      <c r="A400" t="s">
        <v>1939</v>
      </c>
      <c r="B400" s="1">
        <v>45024</v>
      </c>
      <c r="C400" t="s">
        <v>1356</v>
      </c>
      <c r="D400" t="s">
        <v>61</v>
      </c>
      <c r="E400" t="s">
        <v>26</v>
      </c>
      <c r="F400" t="s">
        <v>27</v>
      </c>
      <c r="G400" t="s">
        <v>28</v>
      </c>
      <c r="H400" t="s">
        <v>20</v>
      </c>
      <c r="I400" t="s">
        <v>21</v>
      </c>
      <c r="J400" t="s">
        <v>64</v>
      </c>
      <c r="K400" s="2">
        <v>32735.19</v>
      </c>
      <c r="L400" s="4">
        <v>7</v>
      </c>
      <c r="M400" s="3">
        <v>0.17</v>
      </c>
      <c r="N400" s="2">
        <v>491.03</v>
      </c>
    </row>
    <row r="401" spans="1:14" x14ac:dyDescent="0.3">
      <c r="A401" t="s">
        <v>1264</v>
      </c>
      <c r="B401" s="1">
        <v>45025</v>
      </c>
      <c r="C401" t="s">
        <v>1265</v>
      </c>
      <c r="D401" t="s">
        <v>61</v>
      </c>
      <c r="E401" t="s">
        <v>17</v>
      </c>
      <c r="F401" t="s">
        <v>40</v>
      </c>
      <c r="G401" t="s">
        <v>41</v>
      </c>
      <c r="H401" t="s">
        <v>42</v>
      </c>
      <c r="I401" t="s">
        <v>29</v>
      </c>
      <c r="J401" t="s">
        <v>30</v>
      </c>
      <c r="K401" s="2">
        <v>22413.360000000001</v>
      </c>
      <c r="L401" s="4">
        <v>9</v>
      </c>
      <c r="M401" s="3">
        <v>0.11</v>
      </c>
      <c r="N401" s="2">
        <v>1008.6</v>
      </c>
    </row>
    <row r="402" spans="1:14" x14ac:dyDescent="0.3">
      <c r="A402" t="s">
        <v>1483</v>
      </c>
      <c r="B402" s="1">
        <v>45025</v>
      </c>
      <c r="C402" t="s">
        <v>1484</v>
      </c>
      <c r="D402" t="s">
        <v>50</v>
      </c>
      <c r="E402" t="s">
        <v>51</v>
      </c>
      <c r="F402" t="s">
        <v>79</v>
      </c>
      <c r="G402" t="s">
        <v>80</v>
      </c>
      <c r="H402" t="s">
        <v>47</v>
      </c>
      <c r="I402" t="s">
        <v>43</v>
      </c>
      <c r="J402" t="s">
        <v>106</v>
      </c>
      <c r="K402" s="2">
        <v>48310.37</v>
      </c>
      <c r="L402" s="4">
        <v>7</v>
      </c>
      <c r="M402" s="3">
        <v>0.1</v>
      </c>
      <c r="N402" s="2">
        <v>2415.52</v>
      </c>
    </row>
    <row r="403" spans="1:14" x14ac:dyDescent="0.3">
      <c r="A403" t="s">
        <v>139</v>
      </c>
      <c r="B403" s="1">
        <v>45026</v>
      </c>
      <c r="C403" t="s">
        <v>140</v>
      </c>
      <c r="D403" t="s">
        <v>57</v>
      </c>
      <c r="E403" t="s">
        <v>26</v>
      </c>
      <c r="F403" t="s">
        <v>34</v>
      </c>
      <c r="G403" t="s">
        <v>35</v>
      </c>
      <c r="H403" t="s">
        <v>36</v>
      </c>
      <c r="I403" t="s">
        <v>21</v>
      </c>
      <c r="J403" t="s">
        <v>64</v>
      </c>
      <c r="K403" s="2">
        <v>39723.730000000003</v>
      </c>
      <c r="L403" s="4">
        <v>1</v>
      </c>
      <c r="M403" s="3">
        <v>0.11</v>
      </c>
      <c r="N403" s="2">
        <v>1787.57</v>
      </c>
    </row>
    <row r="404" spans="1:14" x14ac:dyDescent="0.3">
      <c r="A404" t="s">
        <v>207</v>
      </c>
      <c r="B404" s="1">
        <v>45026</v>
      </c>
      <c r="C404" t="s">
        <v>208</v>
      </c>
      <c r="D404" t="s">
        <v>25</v>
      </c>
      <c r="E404" t="s">
        <v>51</v>
      </c>
      <c r="F404" t="s">
        <v>34</v>
      </c>
      <c r="G404" t="s">
        <v>35</v>
      </c>
      <c r="H404" t="s">
        <v>36</v>
      </c>
      <c r="I404" t="s">
        <v>21</v>
      </c>
      <c r="J404" t="s">
        <v>58</v>
      </c>
      <c r="K404" s="2">
        <v>39380</v>
      </c>
      <c r="L404" s="4">
        <v>10</v>
      </c>
      <c r="M404" s="3">
        <v>0.3</v>
      </c>
      <c r="N404" s="2">
        <v>-1969</v>
      </c>
    </row>
    <row r="405" spans="1:14" x14ac:dyDescent="0.3">
      <c r="A405" t="s">
        <v>222</v>
      </c>
      <c r="B405" s="1">
        <v>45026</v>
      </c>
      <c r="C405" t="s">
        <v>223</v>
      </c>
      <c r="D405" t="s">
        <v>25</v>
      </c>
      <c r="E405" t="s">
        <v>51</v>
      </c>
      <c r="F405" t="s">
        <v>79</v>
      </c>
      <c r="G405" t="s">
        <v>80</v>
      </c>
      <c r="H405" t="s">
        <v>47</v>
      </c>
      <c r="I405" t="s">
        <v>43</v>
      </c>
      <c r="J405" t="s">
        <v>37</v>
      </c>
      <c r="K405" s="2">
        <v>22355.88</v>
      </c>
      <c r="L405" s="4">
        <v>9</v>
      </c>
      <c r="M405" s="3">
        <v>0.13</v>
      </c>
      <c r="N405" s="2">
        <v>782.46</v>
      </c>
    </row>
    <row r="406" spans="1:14" x14ac:dyDescent="0.3">
      <c r="A406" t="s">
        <v>1070</v>
      </c>
      <c r="B406" s="1">
        <v>45026</v>
      </c>
      <c r="C406" t="s">
        <v>1071</v>
      </c>
      <c r="D406" t="s">
        <v>33</v>
      </c>
      <c r="E406" t="s">
        <v>26</v>
      </c>
      <c r="F406" t="s">
        <v>46</v>
      </c>
      <c r="G406" t="s">
        <v>46</v>
      </c>
      <c r="H406" t="s">
        <v>47</v>
      </c>
      <c r="I406" t="s">
        <v>43</v>
      </c>
      <c r="J406" t="s">
        <v>58</v>
      </c>
      <c r="K406" s="2">
        <v>39195.14</v>
      </c>
      <c r="L406" s="4">
        <v>4</v>
      </c>
      <c r="M406" s="3">
        <v>0.01</v>
      </c>
      <c r="N406" s="2">
        <v>3723.54</v>
      </c>
    </row>
    <row r="407" spans="1:14" x14ac:dyDescent="0.3">
      <c r="A407" t="s">
        <v>2114</v>
      </c>
      <c r="B407" s="1">
        <v>45026</v>
      </c>
      <c r="C407" t="s">
        <v>1058</v>
      </c>
      <c r="D407" t="s">
        <v>85</v>
      </c>
      <c r="E407" t="s">
        <v>17</v>
      </c>
      <c r="F407" t="s">
        <v>79</v>
      </c>
      <c r="G407" t="s">
        <v>80</v>
      </c>
      <c r="H407" t="s">
        <v>47</v>
      </c>
      <c r="I407" t="s">
        <v>29</v>
      </c>
      <c r="J407" t="s">
        <v>37</v>
      </c>
      <c r="K407" s="2">
        <v>10758.94</v>
      </c>
      <c r="L407" s="4">
        <v>4</v>
      </c>
      <c r="M407" s="3">
        <v>0.22</v>
      </c>
      <c r="N407" s="2">
        <v>-107.59</v>
      </c>
    </row>
    <row r="408" spans="1:14" x14ac:dyDescent="0.3">
      <c r="A408" t="s">
        <v>1473</v>
      </c>
      <c r="B408" s="1">
        <v>45026</v>
      </c>
      <c r="C408" t="s">
        <v>1474</v>
      </c>
      <c r="D408" t="s">
        <v>16</v>
      </c>
      <c r="E408" t="s">
        <v>17</v>
      </c>
      <c r="F408" t="s">
        <v>27</v>
      </c>
      <c r="G408" t="s">
        <v>28</v>
      </c>
      <c r="H408" t="s">
        <v>20</v>
      </c>
      <c r="I408" t="s">
        <v>29</v>
      </c>
      <c r="J408" t="s">
        <v>30</v>
      </c>
      <c r="K408" s="2">
        <v>8899.0499999999993</v>
      </c>
      <c r="L408" s="4">
        <v>2</v>
      </c>
      <c r="M408" s="3">
        <v>0.22</v>
      </c>
      <c r="N408" s="2">
        <v>-88.99</v>
      </c>
    </row>
    <row r="409" spans="1:14" x14ac:dyDescent="0.3">
      <c r="A409" t="s">
        <v>1552</v>
      </c>
      <c r="B409" s="1">
        <v>45026</v>
      </c>
      <c r="C409" t="s">
        <v>1553</v>
      </c>
      <c r="D409" t="s">
        <v>85</v>
      </c>
      <c r="E409" t="s">
        <v>26</v>
      </c>
      <c r="F409" t="s">
        <v>46</v>
      </c>
      <c r="G409" t="s">
        <v>46</v>
      </c>
      <c r="H409" t="s">
        <v>47</v>
      </c>
      <c r="I409" t="s">
        <v>43</v>
      </c>
      <c r="J409" t="s">
        <v>30</v>
      </c>
      <c r="K409" s="2">
        <v>35118.35</v>
      </c>
      <c r="L409" s="4">
        <v>3</v>
      </c>
      <c r="M409" s="3">
        <v>0.21</v>
      </c>
      <c r="N409" s="2">
        <v>-175.59</v>
      </c>
    </row>
    <row r="410" spans="1:14" x14ac:dyDescent="0.3">
      <c r="A410" t="s">
        <v>1719</v>
      </c>
      <c r="B410" s="1">
        <v>45026</v>
      </c>
      <c r="C410" t="s">
        <v>1638</v>
      </c>
      <c r="D410" t="s">
        <v>25</v>
      </c>
      <c r="E410" t="s">
        <v>17</v>
      </c>
      <c r="F410" t="s">
        <v>46</v>
      </c>
      <c r="G410" t="s">
        <v>46</v>
      </c>
      <c r="H410" t="s">
        <v>47</v>
      </c>
      <c r="I410" t="s">
        <v>43</v>
      </c>
      <c r="J410" t="s">
        <v>106</v>
      </c>
      <c r="K410" s="2">
        <v>8346.6299999999992</v>
      </c>
      <c r="L410" s="4">
        <v>2</v>
      </c>
      <c r="M410" s="3">
        <v>0.03</v>
      </c>
      <c r="N410" s="2">
        <v>709.46</v>
      </c>
    </row>
    <row r="411" spans="1:14" x14ac:dyDescent="0.3">
      <c r="A411" t="s">
        <v>2074</v>
      </c>
      <c r="B411" s="1">
        <v>45027</v>
      </c>
      <c r="C411" t="s">
        <v>1566</v>
      </c>
      <c r="D411" t="s">
        <v>25</v>
      </c>
      <c r="E411" t="s">
        <v>26</v>
      </c>
      <c r="F411" t="s">
        <v>27</v>
      </c>
      <c r="G411" t="s">
        <v>28</v>
      </c>
      <c r="H411" t="s">
        <v>20</v>
      </c>
      <c r="I411" t="s">
        <v>43</v>
      </c>
      <c r="J411" t="s">
        <v>64</v>
      </c>
      <c r="K411" s="2">
        <v>27816.47</v>
      </c>
      <c r="L411" s="4">
        <v>1</v>
      </c>
      <c r="M411" s="3">
        <v>0.19</v>
      </c>
      <c r="N411" s="2">
        <v>139.08000000000001</v>
      </c>
    </row>
    <row r="412" spans="1:14" x14ac:dyDescent="0.3">
      <c r="A412" t="s">
        <v>932</v>
      </c>
      <c r="B412" s="1">
        <v>45028</v>
      </c>
      <c r="C412" t="s">
        <v>473</v>
      </c>
      <c r="D412" t="s">
        <v>50</v>
      </c>
      <c r="E412" t="s">
        <v>17</v>
      </c>
      <c r="F412" t="s">
        <v>18</v>
      </c>
      <c r="G412" t="s">
        <v>19</v>
      </c>
      <c r="H412" t="s">
        <v>20</v>
      </c>
      <c r="I412" t="s">
        <v>29</v>
      </c>
      <c r="J412" t="s">
        <v>22</v>
      </c>
      <c r="K412" s="2">
        <v>34442.129999999997</v>
      </c>
      <c r="L412" s="4">
        <v>2</v>
      </c>
      <c r="M412" s="3">
        <v>0.09</v>
      </c>
      <c r="N412" s="2">
        <v>1894.32</v>
      </c>
    </row>
    <row r="413" spans="1:14" x14ac:dyDescent="0.3">
      <c r="A413" t="s">
        <v>1338</v>
      </c>
      <c r="B413" s="1">
        <v>45028</v>
      </c>
      <c r="C413" t="s">
        <v>1181</v>
      </c>
      <c r="D413" t="s">
        <v>61</v>
      </c>
      <c r="E413" t="s">
        <v>51</v>
      </c>
      <c r="F413" t="s">
        <v>18</v>
      </c>
      <c r="G413" t="s">
        <v>19</v>
      </c>
      <c r="H413" t="s">
        <v>20</v>
      </c>
      <c r="I413" t="s">
        <v>29</v>
      </c>
      <c r="J413" t="s">
        <v>54</v>
      </c>
      <c r="K413" s="2">
        <v>47094.92</v>
      </c>
      <c r="L413" s="4">
        <v>3</v>
      </c>
      <c r="M413" s="3">
        <v>0.28000000000000003</v>
      </c>
      <c r="N413" s="2">
        <v>-1883.8</v>
      </c>
    </row>
    <row r="414" spans="1:14" x14ac:dyDescent="0.3">
      <c r="A414" t="s">
        <v>1768</v>
      </c>
      <c r="B414" s="1">
        <v>45028</v>
      </c>
      <c r="C414" t="s">
        <v>853</v>
      </c>
      <c r="D414" t="s">
        <v>25</v>
      </c>
      <c r="E414" t="s">
        <v>17</v>
      </c>
      <c r="F414" t="s">
        <v>46</v>
      </c>
      <c r="G414" t="s">
        <v>46</v>
      </c>
      <c r="H414" t="s">
        <v>47</v>
      </c>
      <c r="I414" t="s">
        <v>21</v>
      </c>
      <c r="J414" t="s">
        <v>106</v>
      </c>
      <c r="K414" s="2">
        <v>36721.19</v>
      </c>
      <c r="L414" s="4">
        <v>10</v>
      </c>
      <c r="M414" s="3">
        <v>0.09</v>
      </c>
      <c r="N414" s="2">
        <v>2019.67</v>
      </c>
    </row>
    <row r="415" spans="1:14" x14ac:dyDescent="0.3">
      <c r="A415" t="s">
        <v>2048</v>
      </c>
      <c r="B415" s="1">
        <v>45028</v>
      </c>
      <c r="C415" t="s">
        <v>820</v>
      </c>
      <c r="D415" t="s">
        <v>33</v>
      </c>
      <c r="E415" t="s">
        <v>26</v>
      </c>
      <c r="F415" t="s">
        <v>27</v>
      </c>
      <c r="G415" t="s">
        <v>28</v>
      </c>
      <c r="H415" t="s">
        <v>20</v>
      </c>
      <c r="I415" t="s">
        <v>43</v>
      </c>
      <c r="J415" t="s">
        <v>58</v>
      </c>
      <c r="K415" s="2">
        <v>40610.76</v>
      </c>
      <c r="L415" s="4">
        <v>7</v>
      </c>
      <c r="M415" s="3">
        <v>0.24</v>
      </c>
      <c r="N415" s="2">
        <v>-812.22</v>
      </c>
    </row>
    <row r="416" spans="1:14" x14ac:dyDescent="0.3">
      <c r="A416" t="s">
        <v>2148</v>
      </c>
      <c r="B416" s="1">
        <v>45028</v>
      </c>
      <c r="C416" t="s">
        <v>1084</v>
      </c>
      <c r="D416" t="s">
        <v>85</v>
      </c>
      <c r="E416" t="s">
        <v>51</v>
      </c>
      <c r="F416" t="s">
        <v>34</v>
      </c>
      <c r="G416" t="s">
        <v>35</v>
      </c>
      <c r="H416" t="s">
        <v>36</v>
      </c>
      <c r="I416" t="s">
        <v>21</v>
      </c>
      <c r="J416" t="s">
        <v>54</v>
      </c>
      <c r="K416" s="2">
        <v>29544.77</v>
      </c>
      <c r="L416" s="4">
        <v>10</v>
      </c>
      <c r="M416" s="3">
        <v>0</v>
      </c>
      <c r="N416" s="2">
        <v>2954.48</v>
      </c>
    </row>
    <row r="417" spans="1:14" x14ac:dyDescent="0.3">
      <c r="A417" t="s">
        <v>1028</v>
      </c>
      <c r="B417" s="1">
        <v>45028</v>
      </c>
      <c r="C417" t="s">
        <v>818</v>
      </c>
      <c r="D417" t="s">
        <v>50</v>
      </c>
      <c r="E417" t="s">
        <v>26</v>
      </c>
      <c r="F417" t="s">
        <v>34</v>
      </c>
      <c r="G417" t="s">
        <v>35</v>
      </c>
      <c r="H417" t="s">
        <v>36</v>
      </c>
      <c r="I417" t="s">
        <v>43</v>
      </c>
      <c r="J417" t="s">
        <v>106</v>
      </c>
      <c r="K417" s="2">
        <v>32319.59</v>
      </c>
      <c r="L417" s="4">
        <v>1</v>
      </c>
      <c r="M417" s="3">
        <v>0.01</v>
      </c>
      <c r="N417" s="2">
        <v>3070.36</v>
      </c>
    </row>
    <row r="418" spans="1:14" x14ac:dyDescent="0.3">
      <c r="A418" t="s">
        <v>865</v>
      </c>
      <c r="B418" s="1">
        <v>45029</v>
      </c>
      <c r="C418" t="s">
        <v>866</v>
      </c>
      <c r="D418" t="s">
        <v>50</v>
      </c>
      <c r="E418" t="s">
        <v>51</v>
      </c>
      <c r="F418" t="s">
        <v>18</v>
      </c>
      <c r="G418" t="s">
        <v>19</v>
      </c>
      <c r="H418" t="s">
        <v>20</v>
      </c>
      <c r="I418" t="s">
        <v>43</v>
      </c>
      <c r="J418" t="s">
        <v>37</v>
      </c>
      <c r="K418" s="2">
        <v>19211.62</v>
      </c>
      <c r="L418" s="4">
        <v>3</v>
      </c>
      <c r="M418" s="3">
        <v>0.01</v>
      </c>
      <c r="N418" s="2">
        <v>1825.1</v>
      </c>
    </row>
    <row r="419" spans="1:14" x14ac:dyDescent="0.3">
      <c r="A419" t="s">
        <v>1487</v>
      </c>
      <c r="B419" s="1">
        <v>45029</v>
      </c>
      <c r="C419" t="s">
        <v>1488</v>
      </c>
      <c r="D419" t="s">
        <v>16</v>
      </c>
      <c r="E419" t="s">
        <v>51</v>
      </c>
      <c r="F419" t="s">
        <v>46</v>
      </c>
      <c r="G419" t="s">
        <v>46</v>
      </c>
      <c r="H419" t="s">
        <v>47</v>
      </c>
      <c r="I419" t="s">
        <v>21</v>
      </c>
      <c r="J419" t="s">
        <v>58</v>
      </c>
      <c r="K419" s="2">
        <v>18141.05</v>
      </c>
      <c r="L419" s="4">
        <v>7</v>
      </c>
      <c r="M419" s="3">
        <v>0.25</v>
      </c>
      <c r="N419" s="2">
        <v>-453.53</v>
      </c>
    </row>
    <row r="420" spans="1:14" x14ac:dyDescent="0.3">
      <c r="A420" t="s">
        <v>1953</v>
      </c>
      <c r="B420" s="1">
        <v>45029</v>
      </c>
      <c r="C420" t="s">
        <v>830</v>
      </c>
      <c r="D420" t="s">
        <v>57</v>
      </c>
      <c r="E420" t="s">
        <v>26</v>
      </c>
      <c r="F420" t="s">
        <v>27</v>
      </c>
      <c r="G420" t="s">
        <v>28</v>
      </c>
      <c r="H420" t="s">
        <v>20</v>
      </c>
      <c r="I420" t="s">
        <v>29</v>
      </c>
      <c r="J420" t="s">
        <v>106</v>
      </c>
      <c r="K420" s="2">
        <v>20716.13</v>
      </c>
      <c r="L420" s="4">
        <v>5</v>
      </c>
      <c r="M420" s="3">
        <v>0.21</v>
      </c>
      <c r="N420" s="2">
        <v>-103.58</v>
      </c>
    </row>
    <row r="421" spans="1:14" x14ac:dyDescent="0.3">
      <c r="A421" t="s">
        <v>996</v>
      </c>
      <c r="B421" s="1">
        <v>45029</v>
      </c>
      <c r="C421" t="s">
        <v>997</v>
      </c>
      <c r="D421" t="s">
        <v>50</v>
      </c>
      <c r="E421" t="s">
        <v>51</v>
      </c>
      <c r="F421" t="s">
        <v>46</v>
      </c>
      <c r="G421" t="s">
        <v>46</v>
      </c>
      <c r="H421" t="s">
        <v>47</v>
      </c>
      <c r="I421" t="s">
        <v>43</v>
      </c>
      <c r="J421" t="s">
        <v>58</v>
      </c>
      <c r="K421" s="2">
        <v>9456.69</v>
      </c>
      <c r="L421" s="4">
        <v>10</v>
      </c>
      <c r="M421" s="3">
        <v>0.24</v>
      </c>
      <c r="N421" s="2">
        <v>-189.13</v>
      </c>
    </row>
    <row r="422" spans="1:14" x14ac:dyDescent="0.3">
      <c r="A422" t="s">
        <v>1811</v>
      </c>
      <c r="B422" s="1">
        <v>45029</v>
      </c>
      <c r="C422" t="s">
        <v>1427</v>
      </c>
      <c r="D422" t="s">
        <v>33</v>
      </c>
      <c r="E422" t="s">
        <v>51</v>
      </c>
      <c r="F422" t="s">
        <v>40</v>
      </c>
      <c r="G422" t="s">
        <v>41</v>
      </c>
      <c r="H422" t="s">
        <v>42</v>
      </c>
      <c r="I422" t="s">
        <v>43</v>
      </c>
      <c r="J422" t="s">
        <v>37</v>
      </c>
      <c r="K422" s="2">
        <v>15648.39</v>
      </c>
      <c r="L422" s="4">
        <v>1</v>
      </c>
      <c r="M422" s="3">
        <v>0.03</v>
      </c>
      <c r="N422" s="2">
        <v>1330.11</v>
      </c>
    </row>
    <row r="423" spans="1:14" x14ac:dyDescent="0.3">
      <c r="A423" t="s">
        <v>1909</v>
      </c>
      <c r="B423" s="1">
        <v>45029</v>
      </c>
      <c r="C423" t="s">
        <v>1112</v>
      </c>
      <c r="D423" t="s">
        <v>25</v>
      </c>
      <c r="E423" t="s">
        <v>51</v>
      </c>
      <c r="F423" t="s">
        <v>34</v>
      </c>
      <c r="G423" t="s">
        <v>35</v>
      </c>
      <c r="H423" t="s">
        <v>36</v>
      </c>
      <c r="I423" t="s">
        <v>43</v>
      </c>
      <c r="J423" t="s">
        <v>30</v>
      </c>
      <c r="K423" s="2">
        <v>12026.54</v>
      </c>
      <c r="L423" s="4">
        <v>4</v>
      </c>
      <c r="M423" s="3">
        <v>0.28000000000000003</v>
      </c>
      <c r="N423" s="2">
        <v>-481.06</v>
      </c>
    </row>
    <row r="424" spans="1:14" x14ac:dyDescent="0.3">
      <c r="A424" t="s">
        <v>644</v>
      </c>
      <c r="B424" s="1">
        <v>45029</v>
      </c>
      <c r="C424" t="s">
        <v>645</v>
      </c>
      <c r="D424" t="s">
        <v>33</v>
      </c>
      <c r="E424" t="s">
        <v>26</v>
      </c>
      <c r="F424" t="s">
        <v>27</v>
      </c>
      <c r="G424" t="s">
        <v>28</v>
      </c>
      <c r="H424" t="s">
        <v>20</v>
      </c>
      <c r="I424" t="s">
        <v>29</v>
      </c>
      <c r="J424" t="s">
        <v>64</v>
      </c>
      <c r="K424" s="2">
        <v>27921.15</v>
      </c>
      <c r="L424" s="4">
        <v>10</v>
      </c>
      <c r="M424" s="3">
        <v>0.28000000000000003</v>
      </c>
      <c r="N424" s="2">
        <v>-1116.8499999999999</v>
      </c>
    </row>
    <row r="425" spans="1:14" x14ac:dyDescent="0.3">
      <c r="A425" t="s">
        <v>497</v>
      </c>
      <c r="B425" s="1">
        <v>45030</v>
      </c>
      <c r="C425" t="s">
        <v>242</v>
      </c>
      <c r="D425" t="s">
        <v>85</v>
      </c>
      <c r="E425" t="s">
        <v>51</v>
      </c>
      <c r="F425" t="s">
        <v>40</v>
      </c>
      <c r="G425" t="s">
        <v>41</v>
      </c>
      <c r="H425" t="s">
        <v>42</v>
      </c>
      <c r="I425" t="s">
        <v>21</v>
      </c>
      <c r="J425" t="s">
        <v>58</v>
      </c>
      <c r="K425" s="2">
        <v>28992.25</v>
      </c>
      <c r="L425" s="4">
        <v>6</v>
      </c>
      <c r="M425" s="3">
        <v>0.06</v>
      </c>
      <c r="N425" s="2">
        <v>2029.46</v>
      </c>
    </row>
    <row r="426" spans="1:14" x14ac:dyDescent="0.3">
      <c r="A426" t="s">
        <v>810</v>
      </c>
      <c r="B426" s="1">
        <v>45030</v>
      </c>
      <c r="C426" t="s">
        <v>252</v>
      </c>
      <c r="D426" t="s">
        <v>50</v>
      </c>
      <c r="E426" t="s">
        <v>51</v>
      </c>
      <c r="F426" t="s">
        <v>18</v>
      </c>
      <c r="G426" t="s">
        <v>19</v>
      </c>
      <c r="H426" t="s">
        <v>20</v>
      </c>
      <c r="I426" t="s">
        <v>43</v>
      </c>
      <c r="J426" t="s">
        <v>37</v>
      </c>
      <c r="K426" s="2">
        <v>34384.79</v>
      </c>
      <c r="L426" s="4">
        <v>6</v>
      </c>
      <c r="M426" s="3">
        <v>0.09</v>
      </c>
      <c r="N426" s="2">
        <v>1891.16</v>
      </c>
    </row>
    <row r="427" spans="1:14" x14ac:dyDescent="0.3">
      <c r="A427" t="s">
        <v>1085</v>
      </c>
      <c r="B427" s="1">
        <v>45030</v>
      </c>
      <c r="C427" t="s">
        <v>1086</v>
      </c>
      <c r="D427" t="s">
        <v>25</v>
      </c>
      <c r="E427" t="s">
        <v>26</v>
      </c>
      <c r="F427" t="s">
        <v>46</v>
      </c>
      <c r="G427" t="s">
        <v>46</v>
      </c>
      <c r="H427" t="s">
        <v>47</v>
      </c>
      <c r="I427" t="s">
        <v>21</v>
      </c>
      <c r="J427" t="s">
        <v>22</v>
      </c>
      <c r="K427" s="2">
        <v>27200.98</v>
      </c>
      <c r="L427" s="4">
        <v>8</v>
      </c>
      <c r="M427" s="3">
        <v>0.19</v>
      </c>
      <c r="N427" s="2">
        <v>136</v>
      </c>
    </row>
    <row r="428" spans="1:14" x14ac:dyDescent="0.3">
      <c r="A428" t="s">
        <v>1275</v>
      </c>
      <c r="B428" s="1">
        <v>45030</v>
      </c>
      <c r="C428" t="s">
        <v>643</v>
      </c>
      <c r="D428" t="s">
        <v>85</v>
      </c>
      <c r="E428" t="s">
        <v>26</v>
      </c>
      <c r="F428" t="s">
        <v>46</v>
      </c>
      <c r="G428" t="s">
        <v>46</v>
      </c>
      <c r="H428" t="s">
        <v>47</v>
      </c>
      <c r="I428" t="s">
        <v>29</v>
      </c>
      <c r="J428" t="s">
        <v>30</v>
      </c>
      <c r="K428" s="2">
        <v>38229.230000000003</v>
      </c>
      <c r="L428" s="4">
        <v>1</v>
      </c>
      <c r="M428" s="3">
        <v>0.03</v>
      </c>
      <c r="N428" s="2">
        <v>3249.48</v>
      </c>
    </row>
    <row r="429" spans="1:14" x14ac:dyDescent="0.3">
      <c r="A429" t="s">
        <v>1824</v>
      </c>
      <c r="B429" s="1">
        <v>45030</v>
      </c>
      <c r="C429" t="s">
        <v>39</v>
      </c>
      <c r="D429" t="s">
        <v>25</v>
      </c>
      <c r="E429" t="s">
        <v>17</v>
      </c>
      <c r="F429" t="s">
        <v>27</v>
      </c>
      <c r="G429" t="s">
        <v>28</v>
      </c>
      <c r="H429" t="s">
        <v>20</v>
      </c>
      <c r="I429" t="s">
        <v>21</v>
      </c>
      <c r="J429" t="s">
        <v>58</v>
      </c>
      <c r="K429" s="2">
        <v>17789.419999999998</v>
      </c>
      <c r="L429" s="4">
        <v>4</v>
      </c>
      <c r="M429" s="3">
        <v>0.28000000000000003</v>
      </c>
      <c r="N429" s="2">
        <v>-711.58</v>
      </c>
    </row>
    <row r="430" spans="1:14" x14ac:dyDescent="0.3">
      <c r="A430" t="s">
        <v>2149</v>
      </c>
      <c r="B430" s="1">
        <v>45030</v>
      </c>
      <c r="C430" t="s">
        <v>739</v>
      </c>
      <c r="D430" t="s">
        <v>25</v>
      </c>
      <c r="E430" t="s">
        <v>17</v>
      </c>
      <c r="F430" t="s">
        <v>34</v>
      </c>
      <c r="G430" t="s">
        <v>35</v>
      </c>
      <c r="H430" t="s">
        <v>36</v>
      </c>
      <c r="I430" t="s">
        <v>21</v>
      </c>
      <c r="J430" t="s">
        <v>64</v>
      </c>
      <c r="K430" s="2">
        <v>33061.07</v>
      </c>
      <c r="L430" s="4">
        <v>3</v>
      </c>
      <c r="M430" s="3">
        <v>0.24</v>
      </c>
      <c r="N430" s="2">
        <v>-661.22</v>
      </c>
    </row>
    <row r="431" spans="1:14" x14ac:dyDescent="0.3">
      <c r="A431" t="s">
        <v>1336</v>
      </c>
      <c r="B431" s="1">
        <v>45030</v>
      </c>
      <c r="C431" t="s">
        <v>1219</v>
      </c>
      <c r="D431" t="s">
        <v>16</v>
      </c>
      <c r="E431" t="s">
        <v>26</v>
      </c>
      <c r="F431" t="s">
        <v>27</v>
      </c>
      <c r="G431" t="s">
        <v>28</v>
      </c>
      <c r="H431" t="s">
        <v>20</v>
      </c>
      <c r="I431" t="s">
        <v>29</v>
      </c>
      <c r="J431" t="s">
        <v>64</v>
      </c>
      <c r="K431" s="2">
        <v>36423.839999999997</v>
      </c>
      <c r="L431" s="4">
        <v>8</v>
      </c>
      <c r="M431" s="3">
        <v>0.14000000000000001</v>
      </c>
      <c r="N431" s="2">
        <v>1092.72</v>
      </c>
    </row>
    <row r="432" spans="1:14" x14ac:dyDescent="0.3">
      <c r="A432" t="s">
        <v>1723</v>
      </c>
      <c r="B432" s="1">
        <v>45030</v>
      </c>
      <c r="C432" t="s">
        <v>864</v>
      </c>
      <c r="D432" t="s">
        <v>85</v>
      </c>
      <c r="E432" t="s">
        <v>26</v>
      </c>
      <c r="F432" t="s">
        <v>34</v>
      </c>
      <c r="G432" t="s">
        <v>35</v>
      </c>
      <c r="H432" t="s">
        <v>36</v>
      </c>
      <c r="I432" t="s">
        <v>43</v>
      </c>
      <c r="J432" t="s">
        <v>30</v>
      </c>
      <c r="K432" s="2">
        <v>29571.1</v>
      </c>
      <c r="L432" s="4">
        <v>3</v>
      </c>
      <c r="M432" s="3">
        <v>0.23</v>
      </c>
      <c r="N432" s="2">
        <v>-443.57</v>
      </c>
    </row>
    <row r="433" spans="1:14" x14ac:dyDescent="0.3">
      <c r="A433" t="s">
        <v>1429</v>
      </c>
      <c r="B433" s="1">
        <v>45030</v>
      </c>
      <c r="C433" t="s">
        <v>1430</v>
      </c>
      <c r="D433" t="s">
        <v>33</v>
      </c>
      <c r="E433" t="s">
        <v>17</v>
      </c>
      <c r="F433" t="s">
        <v>34</v>
      </c>
      <c r="G433" t="s">
        <v>35</v>
      </c>
      <c r="H433" t="s">
        <v>36</v>
      </c>
      <c r="I433" t="s">
        <v>43</v>
      </c>
      <c r="J433" t="s">
        <v>30</v>
      </c>
      <c r="K433" s="2">
        <v>40639.11</v>
      </c>
      <c r="L433" s="4">
        <v>5</v>
      </c>
      <c r="M433" s="3">
        <v>0.25</v>
      </c>
      <c r="N433" s="2">
        <v>-1015.98</v>
      </c>
    </row>
    <row r="434" spans="1:14" x14ac:dyDescent="0.3">
      <c r="A434" t="s">
        <v>2000</v>
      </c>
      <c r="B434" s="1">
        <v>45030</v>
      </c>
      <c r="C434" t="s">
        <v>91</v>
      </c>
      <c r="D434" t="s">
        <v>50</v>
      </c>
      <c r="E434" t="s">
        <v>17</v>
      </c>
      <c r="F434" t="s">
        <v>40</v>
      </c>
      <c r="G434" t="s">
        <v>41</v>
      </c>
      <c r="H434" t="s">
        <v>42</v>
      </c>
      <c r="I434" t="s">
        <v>21</v>
      </c>
      <c r="J434" t="s">
        <v>54</v>
      </c>
      <c r="K434" s="2">
        <v>19044.54</v>
      </c>
      <c r="L434" s="4">
        <v>3</v>
      </c>
      <c r="M434" s="3">
        <v>0.1</v>
      </c>
      <c r="N434" s="2">
        <v>952.23</v>
      </c>
    </row>
    <row r="435" spans="1:14" x14ac:dyDescent="0.3">
      <c r="A435" t="s">
        <v>844</v>
      </c>
      <c r="B435" s="1">
        <v>45030</v>
      </c>
      <c r="C435" t="s">
        <v>845</v>
      </c>
      <c r="D435" t="s">
        <v>50</v>
      </c>
      <c r="E435" t="s">
        <v>51</v>
      </c>
      <c r="F435" t="s">
        <v>46</v>
      </c>
      <c r="G435" t="s">
        <v>46</v>
      </c>
      <c r="H435" t="s">
        <v>47</v>
      </c>
      <c r="I435" t="s">
        <v>29</v>
      </c>
      <c r="J435" t="s">
        <v>64</v>
      </c>
      <c r="K435" s="2">
        <v>23483.26</v>
      </c>
      <c r="L435" s="4">
        <v>6</v>
      </c>
      <c r="M435" s="3">
        <v>0.24</v>
      </c>
      <c r="N435" s="2">
        <v>-469.67</v>
      </c>
    </row>
    <row r="436" spans="1:14" x14ac:dyDescent="0.3">
      <c r="A436" t="s">
        <v>760</v>
      </c>
      <c r="B436" s="1">
        <v>45031</v>
      </c>
      <c r="C436" t="s">
        <v>248</v>
      </c>
      <c r="D436" t="s">
        <v>50</v>
      </c>
      <c r="E436" t="s">
        <v>17</v>
      </c>
      <c r="F436" t="s">
        <v>34</v>
      </c>
      <c r="G436" t="s">
        <v>35</v>
      </c>
      <c r="H436" t="s">
        <v>36</v>
      </c>
      <c r="I436" t="s">
        <v>43</v>
      </c>
      <c r="J436" t="s">
        <v>30</v>
      </c>
      <c r="K436" s="2">
        <v>3325.85</v>
      </c>
      <c r="L436" s="4">
        <v>5</v>
      </c>
      <c r="M436" s="3">
        <v>0.28999999999999998</v>
      </c>
      <c r="N436" s="2">
        <v>-149.66</v>
      </c>
    </row>
    <row r="437" spans="1:14" x14ac:dyDescent="0.3">
      <c r="A437" t="s">
        <v>2241</v>
      </c>
      <c r="B437" s="1">
        <v>45031</v>
      </c>
      <c r="C437" t="s">
        <v>246</v>
      </c>
      <c r="D437" t="s">
        <v>85</v>
      </c>
      <c r="E437" t="s">
        <v>26</v>
      </c>
      <c r="F437" t="s">
        <v>27</v>
      </c>
      <c r="G437" t="s">
        <v>28</v>
      </c>
      <c r="H437" t="s">
        <v>20</v>
      </c>
      <c r="I437" t="s">
        <v>43</v>
      </c>
      <c r="J437" t="s">
        <v>106</v>
      </c>
      <c r="K437" s="2">
        <v>42339.51</v>
      </c>
      <c r="L437" s="4">
        <v>7</v>
      </c>
      <c r="M437" s="3">
        <v>0.15</v>
      </c>
      <c r="N437" s="2">
        <v>1058.49</v>
      </c>
    </row>
    <row r="438" spans="1:14" x14ac:dyDescent="0.3">
      <c r="A438" t="s">
        <v>2181</v>
      </c>
      <c r="B438" s="1">
        <v>45031</v>
      </c>
      <c r="C438" t="s">
        <v>1004</v>
      </c>
      <c r="D438" t="s">
        <v>61</v>
      </c>
      <c r="E438" t="s">
        <v>26</v>
      </c>
      <c r="F438" t="s">
        <v>34</v>
      </c>
      <c r="G438" t="s">
        <v>35</v>
      </c>
      <c r="H438" t="s">
        <v>36</v>
      </c>
      <c r="I438" t="s">
        <v>21</v>
      </c>
      <c r="J438" t="s">
        <v>37</v>
      </c>
      <c r="K438" s="2">
        <v>24140.92</v>
      </c>
      <c r="L438" s="4">
        <v>2</v>
      </c>
      <c r="M438" s="3">
        <v>0.01</v>
      </c>
      <c r="N438" s="2">
        <v>2293.39</v>
      </c>
    </row>
    <row r="439" spans="1:14" x14ac:dyDescent="0.3">
      <c r="A439" t="s">
        <v>2062</v>
      </c>
      <c r="B439" s="1">
        <v>45031</v>
      </c>
      <c r="C439" t="s">
        <v>1333</v>
      </c>
      <c r="D439" t="s">
        <v>25</v>
      </c>
      <c r="E439" t="s">
        <v>17</v>
      </c>
      <c r="F439" t="s">
        <v>46</v>
      </c>
      <c r="G439" t="s">
        <v>46</v>
      </c>
      <c r="H439" t="s">
        <v>47</v>
      </c>
      <c r="I439" t="s">
        <v>21</v>
      </c>
      <c r="J439" t="s">
        <v>58</v>
      </c>
      <c r="K439" s="2">
        <v>18222.7</v>
      </c>
      <c r="L439" s="4">
        <v>10</v>
      </c>
      <c r="M439" s="3">
        <v>0.21</v>
      </c>
      <c r="N439" s="2">
        <v>-91.11</v>
      </c>
    </row>
    <row r="440" spans="1:14" x14ac:dyDescent="0.3">
      <c r="A440" t="s">
        <v>1238</v>
      </c>
      <c r="B440" s="1">
        <v>45032</v>
      </c>
      <c r="C440" t="s">
        <v>353</v>
      </c>
      <c r="D440" t="s">
        <v>61</v>
      </c>
      <c r="E440" t="s">
        <v>17</v>
      </c>
      <c r="F440" t="s">
        <v>40</v>
      </c>
      <c r="G440" t="s">
        <v>41</v>
      </c>
      <c r="H440" t="s">
        <v>42</v>
      </c>
      <c r="I440" t="s">
        <v>29</v>
      </c>
      <c r="J440" t="s">
        <v>22</v>
      </c>
      <c r="K440" s="2">
        <v>765.79</v>
      </c>
      <c r="L440" s="4">
        <v>6</v>
      </c>
      <c r="M440" s="3">
        <v>0.08</v>
      </c>
      <c r="N440" s="2">
        <v>45.95</v>
      </c>
    </row>
    <row r="441" spans="1:14" x14ac:dyDescent="0.3">
      <c r="A441" t="s">
        <v>1738</v>
      </c>
      <c r="B441" s="1">
        <v>45032</v>
      </c>
      <c r="C441" t="s">
        <v>329</v>
      </c>
      <c r="D441" t="s">
        <v>61</v>
      </c>
      <c r="E441" t="s">
        <v>26</v>
      </c>
      <c r="F441" t="s">
        <v>18</v>
      </c>
      <c r="G441" t="s">
        <v>19</v>
      </c>
      <c r="H441" t="s">
        <v>20</v>
      </c>
      <c r="I441" t="s">
        <v>21</v>
      </c>
      <c r="J441" t="s">
        <v>106</v>
      </c>
      <c r="K441" s="2">
        <v>16141.1</v>
      </c>
      <c r="L441" s="4">
        <v>8</v>
      </c>
      <c r="M441" s="3">
        <v>0.2</v>
      </c>
      <c r="N441" s="2">
        <v>0</v>
      </c>
    </row>
    <row r="442" spans="1:14" x14ac:dyDescent="0.3">
      <c r="A442" t="s">
        <v>1965</v>
      </c>
      <c r="B442" s="1">
        <v>45032</v>
      </c>
      <c r="C442" t="s">
        <v>248</v>
      </c>
      <c r="D442" t="s">
        <v>61</v>
      </c>
      <c r="E442" t="s">
        <v>51</v>
      </c>
      <c r="F442" t="s">
        <v>46</v>
      </c>
      <c r="G442" t="s">
        <v>46</v>
      </c>
      <c r="H442" t="s">
        <v>47</v>
      </c>
      <c r="I442" t="s">
        <v>21</v>
      </c>
      <c r="J442" t="s">
        <v>54</v>
      </c>
      <c r="K442" s="2">
        <v>10840.36</v>
      </c>
      <c r="L442" s="4">
        <v>4</v>
      </c>
      <c r="M442" s="3">
        <v>0.01</v>
      </c>
      <c r="N442" s="2">
        <v>1029.83</v>
      </c>
    </row>
    <row r="443" spans="1:14" x14ac:dyDescent="0.3">
      <c r="A443" t="s">
        <v>1454</v>
      </c>
      <c r="B443" s="1">
        <v>45032</v>
      </c>
      <c r="C443" t="s">
        <v>1455</v>
      </c>
      <c r="D443" t="s">
        <v>25</v>
      </c>
      <c r="E443" t="s">
        <v>51</v>
      </c>
      <c r="F443" t="s">
        <v>18</v>
      </c>
      <c r="G443" t="s">
        <v>19</v>
      </c>
      <c r="H443" t="s">
        <v>20</v>
      </c>
      <c r="I443" t="s">
        <v>21</v>
      </c>
      <c r="J443" t="s">
        <v>64</v>
      </c>
      <c r="K443" s="2">
        <v>26059.01</v>
      </c>
      <c r="L443" s="4">
        <v>7</v>
      </c>
      <c r="M443" s="3">
        <v>0.05</v>
      </c>
      <c r="N443" s="2">
        <v>1954.43</v>
      </c>
    </row>
    <row r="444" spans="1:14" x14ac:dyDescent="0.3">
      <c r="A444" t="s">
        <v>937</v>
      </c>
      <c r="B444" s="1">
        <v>45033</v>
      </c>
      <c r="C444" t="s">
        <v>938</v>
      </c>
      <c r="D444" t="s">
        <v>85</v>
      </c>
      <c r="E444" t="s">
        <v>51</v>
      </c>
      <c r="F444" t="s">
        <v>34</v>
      </c>
      <c r="G444" t="s">
        <v>35</v>
      </c>
      <c r="H444" t="s">
        <v>36</v>
      </c>
      <c r="I444" t="s">
        <v>43</v>
      </c>
      <c r="J444" t="s">
        <v>22</v>
      </c>
      <c r="K444" s="2">
        <v>726.05</v>
      </c>
      <c r="L444" s="4">
        <v>5</v>
      </c>
      <c r="M444" s="3">
        <v>0.26</v>
      </c>
      <c r="N444" s="2">
        <v>-21.78</v>
      </c>
    </row>
    <row r="445" spans="1:14" x14ac:dyDescent="0.3">
      <c r="A445" t="s">
        <v>1771</v>
      </c>
      <c r="B445" s="1">
        <v>45033</v>
      </c>
      <c r="C445" t="s">
        <v>1772</v>
      </c>
      <c r="D445" t="s">
        <v>50</v>
      </c>
      <c r="E445" t="s">
        <v>17</v>
      </c>
      <c r="F445" t="s">
        <v>18</v>
      </c>
      <c r="G445" t="s">
        <v>19</v>
      </c>
      <c r="H445" t="s">
        <v>20</v>
      </c>
      <c r="I445" t="s">
        <v>43</v>
      </c>
      <c r="J445" t="s">
        <v>64</v>
      </c>
      <c r="K445" s="2">
        <v>30707.95</v>
      </c>
      <c r="L445" s="4">
        <v>10</v>
      </c>
      <c r="M445" s="3">
        <v>0.3</v>
      </c>
      <c r="N445" s="2">
        <v>-1535.4</v>
      </c>
    </row>
    <row r="446" spans="1:14" x14ac:dyDescent="0.3">
      <c r="A446" t="s">
        <v>1846</v>
      </c>
      <c r="B446" s="1">
        <v>45033</v>
      </c>
      <c r="C446" t="s">
        <v>1008</v>
      </c>
      <c r="D446" t="s">
        <v>16</v>
      </c>
      <c r="E446" t="s">
        <v>17</v>
      </c>
      <c r="F446" t="s">
        <v>79</v>
      </c>
      <c r="G446" t="s">
        <v>80</v>
      </c>
      <c r="H446" t="s">
        <v>47</v>
      </c>
      <c r="I446" t="s">
        <v>43</v>
      </c>
      <c r="J446" t="s">
        <v>58</v>
      </c>
      <c r="K446" s="2">
        <v>619.58000000000004</v>
      </c>
      <c r="L446" s="4">
        <v>6</v>
      </c>
      <c r="M446" s="3">
        <v>0.19</v>
      </c>
      <c r="N446" s="2">
        <v>3.1</v>
      </c>
    </row>
    <row r="447" spans="1:14" x14ac:dyDescent="0.3">
      <c r="A447" t="s">
        <v>470</v>
      </c>
      <c r="B447" s="1">
        <v>45033</v>
      </c>
      <c r="C447" t="s">
        <v>471</v>
      </c>
      <c r="D447" t="s">
        <v>50</v>
      </c>
      <c r="E447" t="s">
        <v>51</v>
      </c>
      <c r="F447" t="s">
        <v>79</v>
      </c>
      <c r="G447" t="s">
        <v>80</v>
      </c>
      <c r="H447" t="s">
        <v>47</v>
      </c>
      <c r="I447" t="s">
        <v>21</v>
      </c>
      <c r="J447" t="s">
        <v>37</v>
      </c>
      <c r="K447" s="2">
        <v>34520.1</v>
      </c>
      <c r="L447" s="4">
        <v>10</v>
      </c>
      <c r="M447" s="3">
        <v>0.25</v>
      </c>
      <c r="N447" s="2">
        <v>-863</v>
      </c>
    </row>
    <row r="448" spans="1:14" x14ac:dyDescent="0.3">
      <c r="A448" t="s">
        <v>1200</v>
      </c>
      <c r="B448" s="1">
        <v>45034</v>
      </c>
      <c r="C448" t="s">
        <v>643</v>
      </c>
      <c r="D448" t="s">
        <v>33</v>
      </c>
      <c r="E448" t="s">
        <v>26</v>
      </c>
      <c r="F448" t="s">
        <v>46</v>
      </c>
      <c r="G448" t="s">
        <v>46</v>
      </c>
      <c r="H448" t="s">
        <v>47</v>
      </c>
      <c r="I448" t="s">
        <v>21</v>
      </c>
      <c r="J448" t="s">
        <v>54</v>
      </c>
      <c r="K448" s="2">
        <v>37141.11</v>
      </c>
      <c r="L448" s="4">
        <v>8</v>
      </c>
      <c r="M448" s="3">
        <v>0.18</v>
      </c>
      <c r="N448" s="2">
        <v>371.41</v>
      </c>
    </row>
    <row r="449" spans="1:14" x14ac:dyDescent="0.3">
      <c r="A449" t="s">
        <v>1966</v>
      </c>
      <c r="B449" s="1">
        <v>45034</v>
      </c>
      <c r="C449" t="s">
        <v>601</v>
      </c>
      <c r="D449" t="s">
        <v>61</v>
      </c>
      <c r="E449" t="s">
        <v>51</v>
      </c>
      <c r="F449" t="s">
        <v>18</v>
      </c>
      <c r="G449" t="s">
        <v>19</v>
      </c>
      <c r="H449" t="s">
        <v>20</v>
      </c>
      <c r="I449" t="s">
        <v>43</v>
      </c>
      <c r="J449" t="s">
        <v>54</v>
      </c>
      <c r="K449" s="2">
        <v>42795.82</v>
      </c>
      <c r="L449" s="4">
        <v>6</v>
      </c>
      <c r="M449" s="3">
        <v>0.26</v>
      </c>
      <c r="N449" s="2">
        <v>-1283.8699999999999</v>
      </c>
    </row>
    <row r="450" spans="1:14" x14ac:dyDescent="0.3">
      <c r="A450" t="s">
        <v>147</v>
      </c>
      <c r="B450" s="1">
        <v>45034</v>
      </c>
      <c r="C450" t="s">
        <v>148</v>
      </c>
      <c r="D450" t="s">
        <v>57</v>
      </c>
      <c r="E450" t="s">
        <v>26</v>
      </c>
      <c r="F450" t="s">
        <v>40</v>
      </c>
      <c r="G450" t="s">
        <v>41</v>
      </c>
      <c r="H450" t="s">
        <v>42</v>
      </c>
      <c r="I450" t="s">
        <v>43</v>
      </c>
      <c r="J450" t="s">
        <v>30</v>
      </c>
      <c r="K450" s="2">
        <v>30192.22</v>
      </c>
      <c r="L450" s="4">
        <v>6</v>
      </c>
      <c r="M450" s="3">
        <v>0.24</v>
      </c>
      <c r="N450" s="2">
        <v>-603.84</v>
      </c>
    </row>
    <row r="451" spans="1:14" x14ac:dyDescent="0.3">
      <c r="A451" t="s">
        <v>157</v>
      </c>
      <c r="B451" s="1">
        <v>45035</v>
      </c>
      <c r="C451" t="s">
        <v>158</v>
      </c>
      <c r="D451" t="s">
        <v>85</v>
      </c>
      <c r="E451" t="s">
        <v>51</v>
      </c>
      <c r="F451" t="s">
        <v>40</v>
      </c>
      <c r="G451" t="s">
        <v>41</v>
      </c>
      <c r="H451" t="s">
        <v>42</v>
      </c>
      <c r="I451" t="s">
        <v>43</v>
      </c>
      <c r="J451" t="s">
        <v>54</v>
      </c>
      <c r="K451" s="2">
        <v>46113.55</v>
      </c>
      <c r="L451" s="4">
        <v>4</v>
      </c>
      <c r="M451" s="3">
        <v>7.0000000000000007E-2</v>
      </c>
      <c r="N451" s="2">
        <v>2997.38</v>
      </c>
    </row>
    <row r="452" spans="1:14" x14ac:dyDescent="0.3">
      <c r="A452" t="s">
        <v>896</v>
      </c>
      <c r="B452" s="1">
        <v>45035</v>
      </c>
      <c r="C452" t="s">
        <v>897</v>
      </c>
      <c r="D452" t="s">
        <v>57</v>
      </c>
      <c r="E452" t="s">
        <v>17</v>
      </c>
      <c r="F452" t="s">
        <v>79</v>
      </c>
      <c r="G452" t="s">
        <v>80</v>
      </c>
      <c r="H452" t="s">
        <v>47</v>
      </c>
      <c r="I452" t="s">
        <v>43</v>
      </c>
      <c r="J452" t="s">
        <v>30</v>
      </c>
      <c r="K452" s="2">
        <v>38866.03</v>
      </c>
      <c r="L452" s="4">
        <v>5</v>
      </c>
      <c r="M452" s="3">
        <v>0.01</v>
      </c>
      <c r="N452" s="2">
        <v>3692.27</v>
      </c>
    </row>
    <row r="453" spans="1:14" x14ac:dyDescent="0.3">
      <c r="A453" t="s">
        <v>1517</v>
      </c>
      <c r="B453" s="1">
        <v>45035</v>
      </c>
      <c r="C453" t="s">
        <v>1177</v>
      </c>
      <c r="D453" t="s">
        <v>33</v>
      </c>
      <c r="E453" t="s">
        <v>51</v>
      </c>
      <c r="F453" t="s">
        <v>46</v>
      </c>
      <c r="G453" t="s">
        <v>46</v>
      </c>
      <c r="H453" t="s">
        <v>47</v>
      </c>
      <c r="I453" t="s">
        <v>21</v>
      </c>
      <c r="J453" t="s">
        <v>22</v>
      </c>
      <c r="K453" s="2">
        <v>37754.33</v>
      </c>
      <c r="L453" s="4">
        <v>6</v>
      </c>
      <c r="M453" s="3">
        <v>0.11</v>
      </c>
      <c r="N453" s="2">
        <v>1698.94</v>
      </c>
    </row>
    <row r="454" spans="1:14" x14ac:dyDescent="0.3">
      <c r="A454" t="s">
        <v>1792</v>
      </c>
      <c r="B454" s="1">
        <v>45035</v>
      </c>
      <c r="C454" t="s">
        <v>280</v>
      </c>
      <c r="D454" t="s">
        <v>16</v>
      </c>
      <c r="E454" t="s">
        <v>17</v>
      </c>
      <c r="F454" t="s">
        <v>46</v>
      </c>
      <c r="G454" t="s">
        <v>46</v>
      </c>
      <c r="H454" t="s">
        <v>47</v>
      </c>
      <c r="I454" t="s">
        <v>21</v>
      </c>
      <c r="J454" t="s">
        <v>37</v>
      </c>
      <c r="K454" s="2">
        <v>32529.82</v>
      </c>
      <c r="L454" s="4">
        <v>2</v>
      </c>
      <c r="M454" s="3">
        <v>0.01</v>
      </c>
      <c r="N454" s="2">
        <v>3090.33</v>
      </c>
    </row>
    <row r="455" spans="1:14" x14ac:dyDescent="0.3">
      <c r="A455" t="s">
        <v>2183</v>
      </c>
      <c r="B455" s="1">
        <v>45035</v>
      </c>
      <c r="C455" t="s">
        <v>691</v>
      </c>
      <c r="D455" t="s">
        <v>57</v>
      </c>
      <c r="E455" t="s">
        <v>51</v>
      </c>
      <c r="F455" t="s">
        <v>40</v>
      </c>
      <c r="G455" t="s">
        <v>41</v>
      </c>
      <c r="H455" t="s">
        <v>42</v>
      </c>
      <c r="I455" t="s">
        <v>43</v>
      </c>
      <c r="J455" t="s">
        <v>64</v>
      </c>
      <c r="K455" s="2">
        <v>15201.87</v>
      </c>
      <c r="L455" s="4">
        <v>5</v>
      </c>
      <c r="M455" s="3">
        <v>0.22</v>
      </c>
      <c r="N455" s="2">
        <v>-152.02000000000001</v>
      </c>
    </row>
    <row r="456" spans="1:14" x14ac:dyDescent="0.3">
      <c r="A456" t="s">
        <v>1506</v>
      </c>
      <c r="B456" s="1">
        <v>45035</v>
      </c>
      <c r="C456" t="s">
        <v>1507</v>
      </c>
      <c r="D456" t="s">
        <v>50</v>
      </c>
      <c r="E456" t="s">
        <v>51</v>
      </c>
      <c r="F456" t="s">
        <v>40</v>
      </c>
      <c r="G456" t="s">
        <v>41</v>
      </c>
      <c r="H456" t="s">
        <v>42</v>
      </c>
      <c r="I456" t="s">
        <v>29</v>
      </c>
      <c r="J456" t="s">
        <v>54</v>
      </c>
      <c r="K456" s="2">
        <v>26377.56</v>
      </c>
      <c r="L456" s="4">
        <v>6</v>
      </c>
      <c r="M456" s="3">
        <v>0.11</v>
      </c>
      <c r="N456" s="2">
        <v>1186.99</v>
      </c>
    </row>
    <row r="457" spans="1:14" x14ac:dyDescent="0.3">
      <c r="A457" t="s">
        <v>1705</v>
      </c>
      <c r="B457" s="1">
        <v>45035</v>
      </c>
      <c r="C457" t="s">
        <v>1112</v>
      </c>
      <c r="D457" t="s">
        <v>57</v>
      </c>
      <c r="E457" t="s">
        <v>51</v>
      </c>
      <c r="F457" t="s">
        <v>34</v>
      </c>
      <c r="G457" t="s">
        <v>35</v>
      </c>
      <c r="H457" t="s">
        <v>36</v>
      </c>
      <c r="I457" t="s">
        <v>29</v>
      </c>
      <c r="J457" t="s">
        <v>30</v>
      </c>
      <c r="K457" s="2">
        <v>17553.91</v>
      </c>
      <c r="L457" s="4">
        <v>7</v>
      </c>
      <c r="M457" s="3">
        <v>0.15</v>
      </c>
      <c r="N457" s="2">
        <v>438.85</v>
      </c>
    </row>
    <row r="458" spans="1:14" x14ac:dyDescent="0.3">
      <c r="A458" t="s">
        <v>96</v>
      </c>
      <c r="B458" s="1">
        <v>45035</v>
      </c>
      <c r="C458" t="s">
        <v>97</v>
      </c>
      <c r="D458" t="s">
        <v>85</v>
      </c>
      <c r="E458" t="s">
        <v>51</v>
      </c>
      <c r="F458" t="s">
        <v>46</v>
      </c>
      <c r="G458" t="s">
        <v>46</v>
      </c>
      <c r="H458" t="s">
        <v>47</v>
      </c>
      <c r="I458" t="s">
        <v>29</v>
      </c>
      <c r="J458" t="s">
        <v>54</v>
      </c>
      <c r="K458" s="2">
        <v>9175.7900000000009</v>
      </c>
      <c r="L458" s="4">
        <v>7</v>
      </c>
      <c r="M458" s="3">
        <v>0.3</v>
      </c>
      <c r="N458" s="2">
        <v>-458.79</v>
      </c>
    </row>
    <row r="459" spans="1:14" x14ac:dyDescent="0.3">
      <c r="A459" t="s">
        <v>452</v>
      </c>
      <c r="B459" s="1">
        <v>45036</v>
      </c>
      <c r="C459" t="s">
        <v>453</v>
      </c>
      <c r="D459" t="s">
        <v>25</v>
      </c>
      <c r="E459" t="s">
        <v>26</v>
      </c>
      <c r="F459" t="s">
        <v>40</v>
      </c>
      <c r="G459" t="s">
        <v>41</v>
      </c>
      <c r="H459" t="s">
        <v>42</v>
      </c>
      <c r="I459" t="s">
        <v>21</v>
      </c>
      <c r="J459" t="s">
        <v>22</v>
      </c>
      <c r="K459" s="2">
        <v>19322.75</v>
      </c>
      <c r="L459" s="4">
        <v>8</v>
      </c>
      <c r="M459" s="3">
        <v>0.17</v>
      </c>
      <c r="N459" s="2">
        <v>289.83999999999997</v>
      </c>
    </row>
    <row r="460" spans="1:14" x14ac:dyDescent="0.3">
      <c r="A460" t="s">
        <v>1884</v>
      </c>
      <c r="B460" s="1">
        <v>45036</v>
      </c>
      <c r="C460" t="s">
        <v>1885</v>
      </c>
      <c r="D460" t="s">
        <v>16</v>
      </c>
      <c r="E460" t="s">
        <v>17</v>
      </c>
      <c r="F460" t="s">
        <v>34</v>
      </c>
      <c r="G460" t="s">
        <v>35</v>
      </c>
      <c r="H460" t="s">
        <v>36</v>
      </c>
      <c r="I460" t="s">
        <v>29</v>
      </c>
      <c r="J460" t="s">
        <v>30</v>
      </c>
      <c r="K460" s="2">
        <v>555.61</v>
      </c>
      <c r="L460" s="4">
        <v>9</v>
      </c>
      <c r="M460" s="3">
        <v>0.28999999999999998</v>
      </c>
      <c r="N460" s="2">
        <v>-25</v>
      </c>
    </row>
    <row r="461" spans="1:14" x14ac:dyDescent="0.3">
      <c r="A461" t="s">
        <v>506</v>
      </c>
      <c r="B461" s="1">
        <v>45036</v>
      </c>
      <c r="C461" t="s">
        <v>507</v>
      </c>
      <c r="D461" t="s">
        <v>25</v>
      </c>
      <c r="E461" t="s">
        <v>17</v>
      </c>
      <c r="F461" t="s">
        <v>79</v>
      </c>
      <c r="G461" t="s">
        <v>80</v>
      </c>
      <c r="H461" t="s">
        <v>47</v>
      </c>
      <c r="I461" t="s">
        <v>43</v>
      </c>
      <c r="J461" t="s">
        <v>54</v>
      </c>
      <c r="K461" s="2">
        <v>3145</v>
      </c>
      <c r="L461" s="4">
        <v>2</v>
      </c>
      <c r="M461" s="3">
        <v>0.23</v>
      </c>
      <c r="N461" s="2">
        <v>-47.17</v>
      </c>
    </row>
    <row r="462" spans="1:14" x14ac:dyDescent="0.3">
      <c r="A462" t="s">
        <v>334</v>
      </c>
      <c r="B462" s="1">
        <v>45037</v>
      </c>
      <c r="C462" t="s">
        <v>335</v>
      </c>
      <c r="D462" t="s">
        <v>16</v>
      </c>
      <c r="E462" t="s">
        <v>17</v>
      </c>
      <c r="F462" t="s">
        <v>79</v>
      </c>
      <c r="G462" t="s">
        <v>80</v>
      </c>
      <c r="H462" t="s">
        <v>47</v>
      </c>
      <c r="I462" t="s">
        <v>21</v>
      </c>
      <c r="J462" t="s">
        <v>58</v>
      </c>
      <c r="K462" s="2">
        <v>41196.620000000003</v>
      </c>
      <c r="L462" s="4">
        <v>6</v>
      </c>
      <c r="M462" s="3">
        <v>0.15</v>
      </c>
      <c r="N462" s="2">
        <v>1029.92</v>
      </c>
    </row>
    <row r="463" spans="1:14" x14ac:dyDescent="0.3">
      <c r="A463" t="s">
        <v>402</v>
      </c>
      <c r="B463" s="1">
        <v>45037</v>
      </c>
      <c r="C463" t="s">
        <v>212</v>
      </c>
      <c r="D463" t="s">
        <v>16</v>
      </c>
      <c r="E463" t="s">
        <v>51</v>
      </c>
      <c r="F463" t="s">
        <v>40</v>
      </c>
      <c r="G463" t="s">
        <v>41</v>
      </c>
      <c r="H463" t="s">
        <v>42</v>
      </c>
      <c r="I463" t="s">
        <v>21</v>
      </c>
      <c r="J463" t="s">
        <v>64</v>
      </c>
      <c r="K463" s="2">
        <v>47320.82</v>
      </c>
      <c r="L463" s="4">
        <v>2</v>
      </c>
      <c r="M463" s="3">
        <v>0.1</v>
      </c>
      <c r="N463" s="2">
        <v>2366.04</v>
      </c>
    </row>
    <row r="464" spans="1:14" x14ac:dyDescent="0.3">
      <c r="A464" t="s">
        <v>1102</v>
      </c>
      <c r="B464" s="1">
        <v>45037</v>
      </c>
      <c r="C464" t="s">
        <v>1103</v>
      </c>
      <c r="D464" t="s">
        <v>57</v>
      </c>
      <c r="E464" t="s">
        <v>51</v>
      </c>
      <c r="F464" t="s">
        <v>27</v>
      </c>
      <c r="G464" t="s">
        <v>28</v>
      </c>
      <c r="H464" t="s">
        <v>20</v>
      </c>
      <c r="I464" t="s">
        <v>29</v>
      </c>
      <c r="J464" t="s">
        <v>37</v>
      </c>
      <c r="K464" s="2">
        <v>33664.370000000003</v>
      </c>
      <c r="L464" s="4">
        <v>5</v>
      </c>
      <c r="M464" s="3">
        <v>0.01</v>
      </c>
      <c r="N464" s="2">
        <v>3198.12</v>
      </c>
    </row>
    <row r="465" spans="1:14" x14ac:dyDescent="0.3">
      <c r="A465" t="s">
        <v>2034</v>
      </c>
      <c r="B465" s="1">
        <v>45037</v>
      </c>
      <c r="C465" t="s">
        <v>2035</v>
      </c>
      <c r="D465" t="s">
        <v>61</v>
      </c>
      <c r="E465" t="s">
        <v>26</v>
      </c>
      <c r="F465" t="s">
        <v>79</v>
      </c>
      <c r="G465" t="s">
        <v>80</v>
      </c>
      <c r="H465" t="s">
        <v>47</v>
      </c>
      <c r="I465" t="s">
        <v>43</v>
      </c>
      <c r="J465" t="s">
        <v>30</v>
      </c>
      <c r="K465" s="2">
        <v>39870.76</v>
      </c>
      <c r="L465" s="4">
        <v>9</v>
      </c>
      <c r="M465" s="3">
        <v>0.24</v>
      </c>
      <c r="N465" s="2">
        <v>-797.42</v>
      </c>
    </row>
    <row r="466" spans="1:14" x14ac:dyDescent="0.3">
      <c r="A466" t="s">
        <v>1511</v>
      </c>
      <c r="B466" s="1">
        <v>45037</v>
      </c>
      <c r="C466" t="s">
        <v>1093</v>
      </c>
      <c r="D466" t="s">
        <v>50</v>
      </c>
      <c r="E466" t="s">
        <v>51</v>
      </c>
      <c r="F466" t="s">
        <v>34</v>
      </c>
      <c r="G466" t="s">
        <v>35</v>
      </c>
      <c r="H466" t="s">
        <v>36</v>
      </c>
      <c r="I466" t="s">
        <v>29</v>
      </c>
      <c r="J466" t="s">
        <v>106</v>
      </c>
      <c r="K466" s="2">
        <v>37284.79</v>
      </c>
      <c r="L466" s="4">
        <v>9</v>
      </c>
      <c r="M466" s="3">
        <v>0.03</v>
      </c>
      <c r="N466" s="2">
        <v>3169.21</v>
      </c>
    </row>
    <row r="467" spans="1:14" x14ac:dyDescent="0.3">
      <c r="A467" t="s">
        <v>712</v>
      </c>
      <c r="B467" s="1">
        <v>45038</v>
      </c>
      <c r="C467" t="s">
        <v>713</v>
      </c>
      <c r="D467" t="s">
        <v>61</v>
      </c>
      <c r="E467" t="s">
        <v>17</v>
      </c>
      <c r="F467" t="s">
        <v>40</v>
      </c>
      <c r="G467" t="s">
        <v>41</v>
      </c>
      <c r="H467" t="s">
        <v>42</v>
      </c>
      <c r="I467" t="s">
        <v>43</v>
      </c>
      <c r="J467" t="s">
        <v>54</v>
      </c>
      <c r="K467" s="2">
        <v>20160.919999999998</v>
      </c>
      <c r="L467" s="4">
        <v>1</v>
      </c>
      <c r="M467" s="3">
        <v>0.21</v>
      </c>
      <c r="N467" s="2">
        <v>-100.8</v>
      </c>
    </row>
    <row r="468" spans="1:14" x14ac:dyDescent="0.3">
      <c r="A468" t="s">
        <v>1123</v>
      </c>
      <c r="B468" s="1">
        <v>45039</v>
      </c>
      <c r="C468" t="s">
        <v>1124</v>
      </c>
      <c r="D468" t="s">
        <v>85</v>
      </c>
      <c r="E468" t="s">
        <v>26</v>
      </c>
      <c r="F468" t="s">
        <v>27</v>
      </c>
      <c r="G468" t="s">
        <v>28</v>
      </c>
      <c r="H468" t="s">
        <v>20</v>
      </c>
      <c r="I468" t="s">
        <v>43</v>
      </c>
      <c r="J468" t="s">
        <v>30</v>
      </c>
      <c r="K468" s="2">
        <v>24671.74</v>
      </c>
      <c r="L468" s="4">
        <v>9</v>
      </c>
      <c r="M468" s="3">
        <v>0.24</v>
      </c>
      <c r="N468" s="2">
        <v>-493.43</v>
      </c>
    </row>
    <row r="469" spans="1:14" x14ac:dyDescent="0.3">
      <c r="A469" t="s">
        <v>1521</v>
      </c>
      <c r="B469" s="1">
        <v>45039</v>
      </c>
      <c r="C469" t="s">
        <v>1375</v>
      </c>
      <c r="D469" t="s">
        <v>61</v>
      </c>
      <c r="E469" t="s">
        <v>17</v>
      </c>
      <c r="F469" t="s">
        <v>18</v>
      </c>
      <c r="G469" t="s">
        <v>19</v>
      </c>
      <c r="H469" t="s">
        <v>20</v>
      </c>
      <c r="I469" t="s">
        <v>21</v>
      </c>
      <c r="J469" t="s">
        <v>64</v>
      </c>
      <c r="K469" s="2">
        <v>43055.56</v>
      </c>
      <c r="L469" s="4">
        <v>1</v>
      </c>
      <c r="M469" s="3">
        <v>0.26</v>
      </c>
      <c r="N469" s="2">
        <v>-1291.67</v>
      </c>
    </row>
    <row r="470" spans="1:14" x14ac:dyDescent="0.3">
      <c r="A470" t="s">
        <v>1562</v>
      </c>
      <c r="B470" s="1">
        <v>45039</v>
      </c>
      <c r="C470" t="s">
        <v>56</v>
      </c>
      <c r="D470" t="s">
        <v>85</v>
      </c>
      <c r="E470" t="s">
        <v>51</v>
      </c>
      <c r="F470" t="s">
        <v>18</v>
      </c>
      <c r="G470" t="s">
        <v>19</v>
      </c>
      <c r="H470" t="s">
        <v>20</v>
      </c>
      <c r="I470" t="s">
        <v>29</v>
      </c>
      <c r="J470" t="s">
        <v>58</v>
      </c>
      <c r="K470" s="2">
        <v>11317.2</v>
      </c>
      <c r="L470" s="4">
        <v>4</v>
      </c>
      <c r="M470" s="3">
        <v>0.08</v>
      </c>
      <c r="N470" s="2">
        <v>679.03</v>
      </c>
    </row>
    <row r="471" spans="1:14" x14ac:dyDescent="0.3">
      <c r="A471" t="s">
        <v>2118</v>
      </c>
      <c r="B471" s="1">
        <v>45039</v>
      </c>
      <c r="C471" t="s">
        <v>1110</v>
      </c>
      <c r="D471" t="s">
        <v>61</v>
      </c>
      <c r="E471" t="s">
        <v>26</v>
      </c>
      <c r="F471" t="s">
        <v>27</v>
      </c>
      <c r="G471" t="s">
        <v>28</v>
      </c>
      <c r="H471" t="s">
        <v>20</v>
      </c>
      <c r="I471" t="s">
        <v>21</v>
      </c>
      <c r="J471" t="s">
        <v>106</v>
      </c>
      <c r="K471" s="2">
        <v>40147.980000000003</v>
      </c>
      <c r="L471" s="4">
        <v>5</v>
      </c>
      <c r="M471" s="3">
        <v>0.16</v>
      </c>
      <c r="N471" s="2">
        <v>802.96</v>
      </c>
    </row>
    <row r="472" spans="1:14" x14ac:dyDescent="0.3">
      <c r="A472" t="s">
        <v>171</v>
      </c>
      <c r="B472" s="1">
        <v>45040</v>
      </c>
      <c r="C472" t="s">
        <v>172</v>
      </c>
      <c r="D472" t="s">
        <v>57</v>
      </c>
      <c r="E472" t="s">
        <v>26</v>
      </c>
      <c r="F472" t="s">
        <v>79</v>
      </c>
      <c r="G472" t="s">
        <v>80</v>
      </c>
      <c r="H472" t="s">
        <v>47</v>
      </c>
      <c r="I472" t="s">
        <v>29</v>
      </c>
      <c r="J472" t="s">
        <v>30</v>
      </c>
      <c r="K472" s="2">
        <v>8166.61</v>
      </c>
      <c r="L472" s="4">
        <v>8</v>
      </c>
      <c r="M472" s="3">
        <v>0.03</v>
      </c>
      <c r="N472" s="2">
        <v>694.16</v>
      </c>
    </row>
    <row r="473" spans="1:14" x14ac:dyDescent="0.3">
      <c r="A473" t="s">
        <v>1306</v>
      </c>
      <c r="B473" s="1">
        <v>45040</v>
      </c>
      <c r="C473" t="s">
        <v>348</v>
      </c>
      <c r="D473" t="s">
        <v>50</v>
      </c>
      <c r="E473" t="s">
        <v>26</v>
      </c>
      <c r="F473" t="s">
        <v>34</v>
      </c>
      <c r="G473" t="s">
        <v>35</v>
      </c>
      <c r="H473" t="s">
        <v>36</v>
      </c>
      <c r="I473" t="s">
        <v>21</v>
      </c>
      <c r="J473" t="s">
        <v>58</v>
      </c>
      <c r="K473" s="2">
        <v>45849.37</v>
      </c>
      <c r="L473" s="4">
        <v>2</v>
      </c>
      <c r="M473" s="3">
        <v>0.28000000000000003</v>
      </c>
      <c r="N473" s="2">
        <v>-1833.97</v>
      </c>
    </row>
    <row r="474" spans="1:14" x14ac:dyDescent="0.3">
      <c r="A474" t="s">
        <v>980</v>
      </c>
      <c r="B474" s="1">
        <v>45040</v>
      </c>
      <c r="C474" t="s">
        <v>981</v>
      </c>
      <c r="D474" t="s">
        <v>33</v>
      </c>
      <c r="E474" t="s">
        <v>17</v>
      </c>
      <c r="F474" t="s">
        <v>79</v>
      </c>
      <c r="G474" t="s">
        <v>80</v>
      </c>
      <c r="H474" t="s">
        <v>47</v>
      </c>
      <c r="I474" t="s">
        <v>21</v>
      </c>
      <c r="J474" t="s">
        <v>30</v>
      </c>
      <c r="K474" s="2">
        <v>15651.76</v>
      </c>
      <c r="L474" s="4">
        <v>4</v>
      </c>
      <c r="M474" s="3">
        <v>0.04</v>
      </c>
      <c r="N474" s="2">
        <v>1252.1400000000001</v>
      </c>
    </row>
    <row r="475" spans="1:14" x14ac:dyDescent="0.3">
      <c r="A475" t="s">
        <v>1374</v>
      </c>
      <c r="B475" s="1">
        <v>45041</v>
      </c>
      <c r="C475" t="s">
        <v>1375</v>
      </c>
      <c r="D475" t="s">
        <v>16</v>
      </c>
      <c r="E475" t="s">
        <v>26</v>
      </c>
      <c r="F475" t="s">
        <v>79</v>
      </c>
      <c r="G475" t="s">
        <v>80</v>
      </c>
      <c r="H475" t="s">
        <v>47</v>
      </c>
      <c r="I475" t="s">
        <v>43</v>
      </c>
      <c r="J475" t="s">
        <v>37</v>
      </c>
      <c r="K475" s="2">
        <v>11742.98</v>
      </c>
      <c r="L475" s="4">
        <v>2</v>
      </c>
      <c r="M475" s="3">
        <v>0.19</v>
      </c>
      <c r="N475" s="2">
        <v>58.71</v>
      </c>
    </row>
    <row r="476" spans="1:14" x14ac:dyDescent="0.3">
      <c r="A476" t="s">
        <v>2138</v>
      </c>
      <c r="B476" s="1">
        <v>45041</v>
      </c>
      <c r="C476" t="s">
        <v>2123</v>
      </c>
      <c r="D476" t="s">
        <v>33</v>
      </c>
      <c r="E476" t="s">
        <v>17</v>
      </c>
      <c r="F476" t="s">
        <v>34</v>
      </c>
      <c r="G476" t="s">
        <v>35</v>
      </c>
      <c r="H476" t="s">
        <v>36</v>
      </c>
      <c r="I476" t="s">
        <v>43</v>
      </c>
      <c r="J476" t="s">
        <v>106</v>
      </c>
      <c r="K476" s="2">
        <v>16843.57</v>
      </c>
      <c r="L476" s="4">
        <v>2</v>
      </c>
      <c r="M476" s="3">
        <v>0.3</v>
      </c>
      <c r="N476" s="2">
        <v>-842.18</v>
      </c>
    </row>
    <row r="477" spans="1:14" x14ac:dyDescent="0.3">
      <c r="A477" t="s">
        <v>322</v>
      </c>
      <c r="B477" s="1">
        <v>45042</v>
      </c>
      <c r="C477" t="s">
        <v>323</v>
      </c>
      <c r="D477" t="s">
        <v>25</v>
      </c>
      <c r="E477" t="s">
        <v>17</v>
      </c>
      <c r="F477" t="s">
        <v>27</v>
      </c>
      <c r="G477" t="s">
        <v>28</v>
      </c>
      <c r="H477" t="s">
        <v>20</v>
      </c>
      <c r="I477" t="s">
        <v>43</v>
      </c>
      <c r="J477" t="s">
        <v>64</v>
      </c>
      <c r="K477" s="2">
        <v>41561.5</v>
      </c>
      <c r="L477" s="4">
        <v>1</v>
      </c>
      <c r="M477" s="3">
        <v>0.15</v>
      </c>
      <c r="N477" s="2">
        <v>1039.04</v>
      </c>
    </row>
    <row r="478" spans="1:14" x14ac:dyDescent="0.3">
      <c r="A478" t="s">
        <v>894</v>
      </c>
      <c r="B478" s="1">
        <v>45042</v>
      </c>
      <c r="C478" t="s">
        <v>895</v>
      </c>
      <c r="D478" t="s">
        <v>33</v>
      </c>
      <c r="E478" t="s">
        <v>17</v>
      </c>
      <c r="F478" t="s">
        <v>79</v>
      </c>
      <c r="G478" t="s">
        <v>80</v>
      </c>
      <c r="H478" t="s">
        <v>47</v>
      </c>
      <c r="I478" t="s">
        <v>29</v>
      </c>
      <c r="J478" t="s">
        <v>58</v>
      </c>
      <c r="K478" s="2">
        <v>20228.54</v>
      </c>
      <c r="L478" s="4">
        <v>4</v>
      </c>
      <c r="M478" s="3">
        <v>0.13</v>
      </c>
      <c r="N478" s="2">
        <v>708</v>
      </c>
    </row>
    <row r="479" spans="1:14" x14ac:dyDescent="0.3">
      <c r="A479" t="s">
        <v>422</v>
      </c>
      <c r="B479" s="1">
        <v>45042</v>
      </c>
      <c r="C479" t="s">
        <v>423</v>
      </c>
      <c r="D479" t="s">
        <v>16</v>
      </c>
      <c r="E479" t="s">
        <v>17</v>
      </c>
      <c r="F479" t="s">
        <v>40</v>
      </c>
      <c r="G479" t="s">
        <v>41</v>
      </c>
      <c r="H479" t="s">
        <v>42</v>
      </c>
      <c r="I479" t="s">
        <v>29</v>
      </c>
      <c r="J479" t="s">
        <v>54</v>
      </c>
      <c r="K479" s="2">
        <v>38556.550000000003</v>
      </c>
      <c r="L479" s="4">
        <v>2</v>
      </c>
      <c r="M479" s="3">
        <v>0.15</v>
      </c>
      <c r="N479" s="2">
        <v>963.91</v>
      </c>
    </row>
    <row r="480" spans="1:14" x14ac:dyDescent="0.3">
      <c r="A480" t="s">
        <v>652</v>
      </c>
      <c r="B480" s="1">
        <v>45043</v>
      </c>
      <c r="C480" t="s">
        <v>252</v>
      </c>
      <c r="D480" t="s">
        <v>61</v>
      </c>
      <c r="E480" t="s">
        <v>26</v>
      </c>
      <c r="F480" t="s">
        <v>79</v>
      </c>
      <c r="G480" t="s">
        <v>80</v>
      </c>
      <c r="H480" t="s">
        <v>47</v>
      </c>
      <c r="I480" t="s">
        <v>43</v>
      </c>
      <c r="J480" t="s">
        <v>54</v>
      </c>
      <c r="K480" s="2">
        <v>43217.89</v>
      </c>
      <c r="L480" s="4">
        <v>8</v>
      </c>
      <c r="M480" s="3">
        <v>0.18</v>
      </c>
      <c r="N480" s="2">
        <v>432.18</v>
      </c>
    </row>
    <row r="481" spans="1:14" x14ac:dyDescent="0.3">
      <c r="A481" t="s">
        <v>1002</v>
      </c>
      <c r="B481" s="1">
        <v>45043</v>
      </c>
      <c r="C481" t="s">
        <v>150</v>
      </c>
      <c r="D481" t="s">
        <v>25</v>
      </c>
      <c r="E481" t="s">
        <v>51</v>
      </c>
      <c r="F481" t="s">
        <v>18</v>
      </c>
      <c r="G481" t="s">
        <v>19</v>
      </c>
      <c r="H481" t="s">
        <v>20</v>
      </c>
      <c r="I481" t="s">
        <v>43</v>
      </c>
      <c r="J481" t="s">
        <v>106</v>
      </c>
      <c r="K481" s="2">
        <v>34779.32</v>
      </c>
      <c r="L481" s="4">
        <v>5</v>
      </c>
      <c r="M481" s="3">
        <v>0.3</v>
      </c>
      <c r="N481" s="2">
        <v>-1738.97</v>
      </c>
    </row>
    <row r="482" spans="1:14" x14ac:dyDescent="0.3">
      <c r="A482" t="s">
        <v>1293</v>
      </c>
      <c r="B482" s="1">
        <v>45043</v>
      </c>
      <c r="C482" t="s">
        <v>206</v>
      </c>
      <c r="D482" t="s">
        <v>16</v>
      </c>
      <c r="E482" t="s">
        <v>17</v>
      </c>
      <c r="F482" t="s">
        <v>40</v>
      </c>
      <c r="G482" t="s">
        <v>41</v>
      </c>
      <c r="H482" t="s">
        <v>42</v>
      </c>
      <c r="I482" t="s">
        <v>29</v>
      </c>
      <c r="J482" t="s">
        <v>22</v>
      </c>
      <c r="K482" s="2">
        <v>33238.410000000003</v>
      </c>
      <c r="L482" s="4">
        <v>4</v>
      </c>
      <c r="M482" s="3">
        <v>0.18</v>
      </c>
      <c r="N482" s="2">
        <v>332.38</v>
      </c>
    </row>
    <row r="483" spans="1:14" x14ac:dyDescent="0.3">
      <c r="A483" t="s">
        <v>1747</v>
      </c>
      <c r="B483" s="1">
        <v>45043</v>
      </c>
      <c r="C483" t="s">
        <v>1748</v>
      </c>
      <c r="D483" t="s">
        <v>61</v>
      </c>
      <c r="E483" t="s">
        <v>26</v>
      </c>
      <c r="F483" t="s">
        <v>46</v>
      </c>
      <c r="G483" t="s">
        <v>46</v>
      </c>
      <c r="H483" t="s">
        <v>47</v>
      </c>
      <c r="I483" t="s">
        <v>21</v>
      </c>
      <c r="J483" t="s">
        <v>37</v>
      </c>
      <c r="K483" s="2">
        <v>14806.03</v>
      </c>
      <c r="L483" s="4">
        <v>3</v>
      </c>
      <c r="M483" s="3">
        <v>0.05</v>
      </c>
      <c r="N483" s="2">
        <v>1110.45</v>
      </c>
    </row>
    <row r="484" spans="1:14" x14ac:dyDescent="0.3">
      <c r="A484" t="s">
        <v>798</v>
      </c>
      <c r="B484" s="1">
        <v>45044</v>
      </c>
      <c r="C484" t="s">
        <v>799</v>
      </c>
      <c r="D484" t="s">
        <v>61</v>
      </c>
      <c r="E484" t="s">
        <v>26</v>
      </c>
      <c r="F484" t="s">
        <v>46</v>
      </c>
      <c r="G484" t="s">
        <v>46</v>
      </c>
      <c r="H484" t="s">
        <v>47</v>
      </c>
      <c r="I484" t="s">
        <v>43</v>
      </c>
      <c r="J484" t="s">
        <v>22</v>
      </c>
      <c r="K484" s="2">
        <v>48984.77</v>
      </c>
      <c r="L484" s="4">
        <v>3</v>
      </c>
      <c r="M484" s="3">
        <v>0.08</v>
      </c>
      <c r="N484" s="2">
        <v>2939.09</v>
      </c>
    </row>
    <row r="485" spans="1:14" x14ac:dyDescent="0.3">
      <c r="A485" t="s">
        <v>430</v>
      </c>
      <c r="B485" s="1">
        <v>45045</v>
      </c>
      <c r="C485" t="s">
        <v>431</v>
      </c>
      <c r="D485" t="s">
        <v>85</v>
      </c>
      <c r="E485" t="s">
        <v>17</v>
      </c>
      <c r="F485" t="s">
        <v>79</v>
      </c>
      <c r="G485" t="s">
        <v>80</v>
      </c>
      <c r="H485" t="s">
        <v>47</v>
      </c>
      <c r="I485" t="s">
        <v>43</v>
      </c>
      <c r="J485" t="s">
        <v>22</v>
      </c>
      <c r="K485" s="2">
        <v>2409.41</v>
      </c>
      <c r="L485" s="4">
        <v>8</v>
      </c>
      <c r="M485" s="3">
        <v>0.28000000000000003</v>
      </c>
      <c r="N485" s="2">
        <v>-96.38</v>
      </c>
    </row>
    <row r="486" spans="1:14" x14ac:dyDescent="0.3">
      <c r="A486" t="s">
        <v>949</v>
      </c>
      <c r="B486" s="1">
        <v>45045</v>
      </c>
      <c r="C486" t="s">
        <v>950</v>
      </c>
      <c r="D486" t="s">
        <v>61</v>
      </c>
      <c r="E486" t="s">
        <v>26</v>
      </c>
      <c r="F486" t="s">
        <v>46</v>
      </c>
      <c r="G486" t="s">
        <v>46</v>
      </c>
      <c r="H486" t="s">
        <v>47</v>
      </c>
      <c r="I486" t="s">
        <v>21</v>
      </c>
      <c r="J486" t="s">
        <v>37</v>
      </c>
      <c r="K486" s="2">
        <v>40669.35</v>
      </c>
      <c r="L486" s="4">
        <v>6</v>
      </c>
      <c r="M486" s="3">
        <v>0.3</v>
      </c>
      <c r="N486" s="2">
        <v>-2033.47</v>
      </c>
    </row>
    <row r="487" spans="1:14" x14ac:dyDescent="0.3">
      <c r="A487" t="s">
        <v>1673</v>
      </c>
      <c r="B487" s="1">
        <v>45045</v>
      </c>
      <c r="C487" t="s">
        <v>1674</v>
      </c>
      <c r="D487" t="s">
        <v>85</v>
      </c>
      <c r="E487" t="s">
        <v>51</v>
      </c>
      <c r="F487" t="s">
        <v>46</v>
      </c>
      <c r="G487" t="s">
        <v>46</v>
      </c>
      <c r="H487" t="s">
        <v>47</v>
      </c>
      <c r="I487" t="s">
        <v>43</v>
      </c>
      <c r="J487" t="s">
        <v>22</v>
      </c>
      <c r="K487" s="2">
        <v>18159.5</v>
      </c>
      <c r="L487" s="4">
        <v>9</v>
      </c>
      <c r="M487" s="3">
        <v>0.2</v>
      </c>
      <c r="N487" s="2">
        <v>0</v>
      </c>
    </row>
    <row r="488" spans="1:14" x14ac:dyDescent="0.3">
      <c r="A488" t="s">
        <v>1581</v>
      </c>
      <c r="B488" s="1">
        <v>45045</v>
      </c>
      <c r="C488" t="s">
        <v>282</v>
      </c>
      <c r="D488" t="s">
        <v>85</v>
      </c>
      <c r="E488" t="s">
        <v>26</v>
      </c>
      <c r="F488" t="s">
        <v>40</v>
      </c>
      <c r="G488" t="s">
        <v>41</v>
      </c>
      <c r="H488" t="s">
        <v>42</v>
      </c>
      <c r="I488" t="s">
        <v>29</v>
      </c>
      <c r="J488" t="s">
        <v>54</v>
      </c>
      <c r="K488" s="2">
        <v>15672.43</v>
      </c>
      <c r="L488" s="4">
        <v>6</v>
      </c>
      <c r="M488" s="3">
        <v>0.12</v>
      </c>
      <c r="N488" s="2">
        <v>626.9</v>
      </c>
    </row>
    <row r="489" spans="1:14" x14ac:dyDescent="0.3">
      <c r="A489" t="s">
        <v>2069</v>
      </c>
      <c r="B489" s="1">
        <v>45045</v>
      </c>
      <c r="C489" t="s">
        <v>158</v>
      </c>
      <c r="D489" t="s">
        <v>61</v>
      </c>
      <c r="E489" t="s">
        <v>17</v>
      </c>
      <c r="F489" t="s">
        <v>46</v>
      </c>
      <c r="G489" t="s">
        <v>46</v>
      </c>
      <c r="H489" t="s">
        <v>47</v>
      </c>
      <c r="I489" t="s">
        <v>21</v>
      </c>
      <c r="J489" t="s">
        <v>30</v>
      </c>
      <c r="K489" s="2">
        <v>48512.46</v>
      </c>
      <c r="L489" s="4">
        <v>3</v>
      </c>
      <c r="M489" s="3">
        <v>0.02</v>
      </c>
      <c r="N489" s="2">
        <v>4366.12</v>
      </c>
    </row>
    <row r="490" spans="1:14" x14ac:dyDescent="0.3">
      <c r="A490" t="s">
        <v>746</v>
      </c>
      <c r="B490" s="1">
        <v>45046</v>
      </c>
      <c r="C490" t="s">
        <v>473</v>
      </c>
      <c r="D490" t="s">
        <v>16</v>
      </c>
      <c r="E490" t="s">
        <v>51</v>
      </c>
      <c r="F490" t="s">
        <v>46</v>
      </c>
      <c r="G490" t="s">
        <v>46</v>
      </c>
      <c r="H490" t="s">
        <v>47</v>
      </c>
      <c r="I490" t="s">
        <v>21</v>
      </c>
      <c r="J490" t="s">
        <v>64</v>
      </c>
      <c r="K490" s="2">
        <v>24531.81</v>
      </c>
      <c r="L490" s="4">
        <v>8</v>
      </c>
      <c r="M490" s="3">
        <v>0.06</v>
      </c>
      <c r="N490" s="2">
        <v>1717.23</v>
      </c>
    </row>
    <row r="491" spans="1:14" x14ac:dyDescent="0.3">
      <c r="A491" t="s">
        <v>1044</v>
      </c>
      <c r="B491" s="1">
        <v>45046</v>
      </c>
      <c r="C491" t="s">
        <v>288</v>
      </c>
      <c r="D491" t="s">
        <v>57</v>
      </c>
      <c r="E491" t="s">
        <v>17</v>
      </c>
      <c r="F491" t="s">
        <v>40</v>
      </c>
      <c r="G491" t="s">
        <v>41</v>
      </c>
      <c r="H491" t="s">
        <v>42</v>
      </c>
      <c r="I491" t="s">
        <v>43</v>
      </c>
      <c r="J491" t="s">
        <v>106</v>
      </c>
      <c r="K491" s="2">
        <v>25545.43</v>
      </c>
      <c r="L491" s="4">
        <v>8</v>
      </c>
      <c r="M491" s="3">
        <v>0.27</v>
      </c>
      <c r="N491" s="2">
        <v>-894.09</v>
      </c>
    </row>
    <row r="492" spans="1:14" x14ac:dyDescent="0.3">
      <c r="A492" t="s">
        <v>933</v>
      </c>
      <c r="B492" s="1">
        <v>45046</v>
      </c>
      <c r="C492" t="s">
        <v>934</v>
      </c>
      <c r="D492" t="s">
        <v>33</v>
      </c>
      <c r="E492" t="s">
        <v>26</v>
      </c>
      <c r="F492" t="s">
        <v>46</v>
      </c>
      <c r="G492" t="s">
        <v>46</v>
      </c>
      <c r="H492" t="s">
        <v>47</v>
      </c>
      <c r="I492" t="s">
        <v>29</v>
      </c>
      <c r="J492" t="s">
        <v>58</v>
      </c>
      <c r="K492" s="2">
        <v>26977.59</v>
      </c>
      <c r="L492" s="4">
        <v>9</v>
      </c>
      <c r="M492" s="3">
        <v>7.0000000000000007E-2</v>
      </c>
      <c r="N492" s="2">
        <v>1753.54</v>
      </c>
    </row>
    <row r="493" spans="1:14" x14ac:dyDescent="0.3">
      <c r="A493" t="s">
        <v>1996</v>
      </c>
      <c r="B493" s="1">
        <v>45046</v>
      </c>
      <c r="C493" t="s">
        <v>1997</v>
      </c>
      <c r="D493" t="s">
        <v>50</v>
      </c>
      <c r="E493" t="s">
        <v>17</v>
      </c>
      <c r="F493" t="s">
        <v>79</v>
      </c>
      <c r="G493" t="s">
        <v>80</v>
      </c>
      <c r="H493" t="s">
        <v>47</v>
      </c>
      <c r="I493" t="s">
        <v>43</v>
      </c>
      <c r="J493" t="s">
        <v>106</v>
      </c>
      <c r="K493" s="2">
        <v>29024.11</v>
      </c>
      <c r="L493" s="4">
        <v>1</v>
      </c>
      <c r="M493" s="3">
        <v>0.11</v>
      </c>
      <c r="N493" s="2">
        <v>1306.08</v>
      </c>
    </row>
    <row r="494" spans="1:14" x14ac:dyDescent="0.3">
      <c r="A494" t="s">
        <v>780</v>
      </c>
      <c r="B494" s="1">
        <v>45046</v>
      </c>
      <c r="C494" t="s">
        <v>408</v>
      </c>
      <c r="D494" t="s">
        <v>16</v>
      </c>
      <c r="E494" t="s">
        <v>26</v>
      </c>
      <c r="F494" t="s">
        <v>34</v>
      </c>
      <c r="G494" t="s">
        <v>35</v>
      </c>
      <c r="H494" t="s">
        <v>36</v>
      </c>
      <c r="I494" t="s">
        <v>29</v>
      </c>
      <c r="J494" t="s">
        <v>58</v>
      </c>
      <c r="K494" s="2">
        <v>17624.810000000001</v>
      </c>
      <c r="L494" s="4">
        <v>8</v>
      </c>
      <c r="M494" s="3">
        <v>0.05</v>
      </c>
      <c r="N494" s="2">
        <v>1321.86</v>
      </c>
    </row>
    <row r="495" spans="1:14" x14ac:dyDescent="0.3">
      <c r="A495" t="s">
        <v>1893</v>
      </c>
      <c r="B495" s="1">
        <v>45046</v>
      </c>
      <c r="C495" t="s">
        <v>1894</v>
      </c>
      <c r="D495" t="s">
        <v>57</v>
      </c>
      <c r="E495" t="s">
        <v>26</v>
      </c>
      <c r="F495" t="s">
        <v>79</v>
      </c>
      <c r="G495" t="s">
        <v>80</v>
      </c>
      <c r="H495" t="s">
        <v>47</v>
      </c>
      <c r="I495" t="s">
        <v>21</v>
      </c>
      <c r="J495" t="s">
        <v>37</v>
      </c>
      <c r="K495" s="2">
        <v>36818.089999999997</v>
      </c>
      <c r="L495" s="4">
        <v>10</v>
      </c>
      <c r="M495" s="3">
        <v>0.13</v>
      </c>
      <c r="N495" s="2">
        <v>1288.6300000000001</v>
      </c>
    </row>
    <row r="496" spans="1:14" x14ac:dyDescent="0.3">
      <c r="A496" t="s">
        <v>1111</v>
      </c>
      <c r="B496" s="1">
        <v>45047</v>
      </c>
      <c r="C496" t="s">
        <v>1112</v>
      </c>
      <c r="D496" t="s">
        <v>57</v>
      </c>
      <c r="E496" t="s">
        <v>26</v>
      </c>
      <c r="F496" t="s">
        <v>34</v>
      </c>
      <c r="G496" t="s">
        <v>35</v>
      </c>
      <c r="H496" t="s">
        <v>36</v>
      </c>
      <c r="I496" t="s">
        <v>43</v>
      </c>
      <c r="J496" t="s">
        <v>58</v>
      </c>
      <c r="K496" s="2">
        <v>48709.94</v>
      </c>
      <c r="L496" s="4">
        <v>9</v>
      </c>
      <c r="M496" s="3">
        <v>0.22</v>
      </c>
      <c r="N496" s="2">
        <v>-487.1</v>
      </c>
    </row>
    <row r="497" spans="1:14" x14ac:dyDescent="0.3">
      <c r="A497" t="s">
        <v>1648</v>
      </c>
      <c r="B497" s="1">
        <v>45047</v>
      </c>
      <c r="C497" t="s">
        <v>136</v>
      </c>
      <c r="D497" t="s">
        <v>33</v>
      </c>
      <c r="E497" t="s">
        <v>17</v>
      </c>
      <c r="F497" t="s">
        <v>18</v>
      </c>
      <c r="G497" t="s">
        <v>19</v>
      </c>
      <c r="H497" t="s">
        <v>20</v>
      </c>
      <c r="I497" t="s">
        <v>21</v>
      </c>
      <c r="J497" t="s">
        <v>30</v>
      </c>
      <c r="K497" s="2">
        <v>29966.85</v>
      </c>
      <c r="L497" s="4">
        <v>5</v>
      </c>
      <c r="M497" s="3">
        <v>0.09</v>
      </c>
      <c r="N497" s="2">
        <v>1648.18</v>
      </c>
    </row>
    <row r="498" spans="1:14" x14ac:dyDescent="0.3">
      <c r="A498" t="s">
        <v>558</v>
      </c>
      <c r="B498" s="1">
        <v>45048</v>
      </c>
      <c r="C498" t="s">
        <v>87</v>
      </c>
      <c r="D498" t="s">
        <v>33</v>
      </c>
      <c r="E498" t="s">
        <v>17</v>
      </c>
      <c r="F498" t="s">
        <v>79</v>
      </c>
      <c r="G498" t="s">
        <v>80</v>
      </c>
      <c r="H498" t="s">
        <v>47</v>
      </c>
      <c r="I498" t="s">
        <v>43</v>
      </c>
      <c r="J498" t="s">
        <v>106</v>
      </c>
      <c r="K498" s="2">
        <v>43299.69</v>
      </c>
      <c r="L498" s="4">
        <v>7</v>
      </c>
      <c r="M498" s="3">
        <v>0.12</v>
      </c>
      <c r="N498" s="2">
        <v>1731.99</v>
      </c>
    </row>
    <row r="499" spans="1:14" x14ac:dyDescent="0.3">
      <c r="A499" t="s">
        <v>679</v>
      </c>
      <c r="B499" s="1">
        <v>45048</v>
      </c>
      <c r="C499" t="s">
        <v>680</v>
      </c>
      <c r="D499" t="s">
        <v>33</v>
      </c>
      <c r="E499" t="s">
        <v>51</v>
      </c>
      <c r="F499" t="s">
        <v>40</v>
      </c>
      <c r="G499" t="s">
        <v>41</v>
      </c>
      <c r="H499" t="s">
        <v>42</v>
      </c>
      <c r="I499" t="s">
        <v>29</v>
      </c>
      <c r="J499" t="s">
        <v>58</v>
      </c>
      <c r="K499" s="2">
        <v>46786.71</v>
      </c>
      <c r="L499" s="4">
        <v>10</v>
      </c>
      <c r="M499" s="3">
        <v>0.18</v>
      </c>
      <c r="N499" s="2">
        <v>467.87</v>
      </c>
    </row>
    <row r="500" spans="1:14" x14ac:dyDescent="0.3">
      <c r="A500" t="s">
        <v>2128</v>
      </c>
      <c r="B500" s="1">
        <v>45048</v>
      </c>
      <c r="C500" t="s">
        <v>885</v>
      </c>
      <c r="D500" t="s">
        <v>16</v>
      </c>
      <c r="E500" t="s">
        <v>17</v>
      </c>
      <c r="F500" t="s">
        <v>79</v>
      </c>
      <c r="G500" t="s">
        <v>80</v>
      </c>
      <c r="H500" t="s">
        <v>47</v>
      </c>
      <c r="I500" t="s">
        <v>29</v>
      </c>
      <c r="J500" t="s">
        <v>22</v>
      </c>
      <c r="K500" s="2">
        <v>46652.51</v>
      </c>
      <c r="L500" s="4">
        <v>6</v>
      </c>
      <c r="M500" s="3">
        <v>0.03</v>
      </c>
      <c r="N500" s="2">
        <v>3965.46</v>
      </c>
    </row>
    <row r="501" spans="1:14" x14ac:dyDescent="0.3">
      <c r="A501" t="s">
        <v>256</v>
      </c>
      <c r="B501" s="1">
        <v>45049</v>
      </c>
      <c r="C501" t="s">
        <v>257</v>
      </c>
      <c r="D501" t="s">
        <v>85</v>
      </c>
      <c r="E501" t="s">
        <v>26</v>
      </c>
      <c r="F501" t="s">
        <v>46</v>
      </c>
      <c r="G501" t="s">
        <v>46</v>
      </c>
      <c r="H501" t="s">
        <v>47</v>
      </c>
      <c r="I501" t="s">
        <v>43</v>
      </c>
      <c r="J501" t="s">
        <v>22</v>
      </c>
      <c r="K501" s="2">
        <v>24766.98</v>
      </c>
      <c r="L501" s="4">
        <v>4</v>
      </c>
      <c r="M501" s="3">
        <v>0.18</v>
      </c>
      <c r="N501" s="2">
        <v>247.67</v>
      </c>
    </row>
    <row r="502" spans="1:14" x14ac:dyDescent="0.3">
      <c r="A502" t="s">
        <v>1741</v>
      </c>
      <c r="B502" s="1">
        <v>45049</v>
      </c>
      <c r="C502" t="s">
        <v>868</v>
      </c>
      <c r="D502" t="s">
        <v>50</v>
      </c>
      <c r="E502" t="s">
        <v>17</v>
      </c>
      <c r="F502" t="s">
        <v>79</v>
      </c>
      <c r="G502" t="s">
        <v>80</v>
      </c>
      <c r="H502" t="s">
        <v>47</v>
      </c>
      <c r="I502" t="s">
        <v>29</v>
      </c>
      <c r="J502" t="s">
        <v>106</v>
      </c>
      <c r="K502" s="2">
        <v>21158.43</v>
      </c>
      <c r="L502" s="4">
        <v>10</v>
      </c>
      <c r="M502" s="3">
        <v>0.02</v>
      </c>
      <c r="N502" s="2">
        <v>1904.26</v>
      </c>
    </row>
    <row r="503" spans="1:14" x14ac:dyDescent="0.3">
      <c r="A503" t="s">
        <v>1732</v>
      </c>
      <c r="B503" s="1">
        <v>45049</v>
      </c>
      <c r="C503" t="s">
        <v>1526</v>
      </c>
      <c r="D503" t="s">
        <v>16</v>
      </c>
      <c r="E503" t="s">
        <v>51</v>
      </c>
      <c r="F503" t="s">
        <v>79</v>
      </c>
      <c r="G503" t="s">
        <v>80</v>
      </c>
      <c r="H503" t="s">
        <v>47</v>
      </c>
      <c r="I503" t="s">
        <v>43</v>
      </c>
      <c r="J503" t="s">
        <v>22</v>
      </c>
      <c r="K503" s="2">
        <v>13029.38</v>
      </c>
      <c r="L503" s="4">
        <v>6</v>
      </c>
      <c r="M503" s="3">
        <v>0.22</v>
      </c>
      <c r="N503" s="2">
        <v>-130.29</v>
      </c>
    </row>
    <row r="504" spans="1:14" x14ac:dyDescent="0.3">
      <c r="A504" t="s">
        <v>321</v>
      </c>
      <c r="B504" s="1">
        <v>45050</v>
      </c>
      <c r="C504" t="s">
        <v>74</v>
      </c>
      <c r="D504" t="s">
        <v>61</v>
      </c>
      <c r="E504" t="s">
        <v>17</v>
      </c>
      <c r="F504" t="s">
        <v>79</v>
      </c>
      <c r="G504" t="s">
        <v>80</v>
      </c>
      <c r="H504" t="s">
        <v>47</v>
      </c>
      <c r="I504" t="s">
        <v>29</v>
      </c>
      <c r="J504" t="s">
        <v>58</v>
      </c>
      <c r="K504" s="2">
        <v>11614.66</v>
      </c>
      <c r="L504" s="4">
        <v>9</v>
      </c>
      <c r="M504" s="3">
        <v>0</v>
      </c>
      <c r="N504" s="2">
        <v>1161.47</v>
      </c>
    </row>
    <row r="505" spans="1:14" x14ac:dyDescent="0.3">
      <c r="A505" t="s">
        <v>945</v>
      </c>
      <c r="B505" s="1">
        <v>45050</v>
      </c>
      <c r="C505" t="s">
        <v>53</v>
      </c>
      <c r="D505" t="s">
        <v>57</v>
      </c>
      <c r="E505" t="s">
        <v>17</v>
      </c>
      <c r="F505" t="s">
        <v>40</v>
      </c>
      <c r="G505" t="s">
        <v>41</v>
      </c>
      <c r="H505" t="s">
        <v>42</v>
      </c>
      <c r="I505" t="s">
        <v>21</v>
      </c>
      <c r="J505" t="s">
        <v>64</v>
      </c>
      <c r="K505" s="2">
        <v>17123.330000000002</v>
      </c>
      <c r="L505" s="4">
        <v>3</v>
      </c>
      <c r="M505" s="3">
        <v>0.1</v>
      </c>
      <c r="N505" s="2">
        <v>856.17</v>
      </c>
    </row>
    <row r="506" spans="1:14" x14ac:dyDescent="0.3">
      <c r="A506" t="s">
        <v>992</v>
      </c>
      <c r="B506" s="1">
        <v>45050</v>
      </c>
      <c r="C506" t="s">
        <v>448</v>
      </c>
      <c r="D506" t="s">
        <v>85</v>
      </c>
      <c r="E506" t="s">
        <v>51</v>
      </c>
      <c r="F506" t="s">
        <v>46</v>
      </c>
      <c r="G506" t="s">
        <v>46</v>
      </c>
      <c r="H506" t="s">
        <v>47</v>
      </c>
      <c r="I506" t="s">
        <v>21</v>
      </c>
      <c r="J506" t="s">
        <v>37</v>
      </c>
      <c r="K506" s="2">
        <v>11161.9</v>
      </c>
      <c r="L506" s="4">
        <v>4</v>
      </c>
      <c r="M506" s="3">
        <v>0.17</v>
      </c>
      <c r="N506" s="2">
        <v>167.43</v>
      </c>
    </row>
    <row r="507" spans="1:14" x14ac:dyDescent="0.3">
      <c r="A507" t="s">
        <v>2010</v>
      </c>
      <c r="B507" s="1">
        <v>45050</v>
      </c>
      <c r="C507" t="s">
        <v>969</v>
      </c>
      <c r="D507" t="s">
        <v>85</v>
      </c>
      <c r="E507" t="s">
        <v>51</v>
      </c>
      <c r="F507" t="s">
        <v>46</v>
      </c>
      <c r="G507" t="s">
        <v>46</v>
      </c>
      <c r="H507" t="s">
        <v>47</v>
      </c>
      <c r="I507" t="s">
        <v>21</v>
      </c>
      <c r="J507" t="s">
        <v>106</v>
      </c>
      <c r="K507" s="2">
        <v>33953.769999999997</v>
      </c>
      <c r="L507" s="4">
        <v>9</v>
      </c>
      <c r="M507" s="3">
        <v>0.27</v>
      </c>
      <c r="N507" s="2">
        <v>-1188.3800000000001</v>
      </c>
    </row>
    <row r="508" spans="1:14" x14ac:dyDescent="0.3">
      <c r="A508" t="s">
        <v>1547</v>
      </c>
      <c r="B508" s="1">
        <v>45050</v>
      </c>
      <c r="C508" t="s">
        <v>413</v>
      </c>
      <c r="D508" t="s">
        <v>61</v>
      </c>
      <c r="E508" t="s">
        <v>26</v>
      </c>
      <c r="F508" t="s">
        <v>27</v>
      </c>
      <c r="G508" t="s">
        <v>28</v>
      </c>
      <c r="H508" t="s">
        <v>20</v>
      </c>
      <c r="I508" t="s">
        <v>21</v>
      </c>
      <c r="J508" t="s">
        <v>54</v>
      </c>
      <c r="K508" s="2">
        <v>26064.57</v>
      </c>
      <c r="L508" s="4">
        <v>8</v>
      </c>
      <c r="M508" s="3">
        <v>0.02</v>
      </c>
      <c r="N508" s="2">
        <v>2345.81</v>
      </c>
    </row>
    <row r="509" spans="1:14" x14ac:dyDescent="0.3">
      <c r="A509" t="s">
        <v>285</v>
      </c>
      <c r="B509" s="1">
        <v>45051</v>
      </c>
      <c r="C509" t="s">
        <v>286</v>
      </c>
      <c r="D509" t="s">
        <v>25</v>
      </c>
      <c r="E509" t="s">
        <v>51</v>
      </c>
      <c r="F509" t="s">
        <v>27</v>
      </c>
      <c r="G509" t="s">
        <v>28</v>
      </c>
      <c r="H509" t="s">
        <v>20</v>
      </c>
      <c r="I509" t="s">
        <v>29</v>
      </c>
      <c r="J509" t="s">
        <v>54</v>
      </c>
      <c r="K509" s="2">
        <v>5944.32</v>
      </c>
      <c r="L509" s="4">
        <v>8</v>
      </c>
      <c r="M509" s="3">
        <v>0.01</v>
      </c>
      <c r="N509" s="2">
        <v>564.71</v>
      </c>
    </row>
    <row r="510" spans="1:14" x14ac:dyDescent="0.3">
      <c r="A510" t="s">
        <v>1328</v>
      </c>
      <c r="B510" s="1">
        <v>45051</v>
      </c>
      <c r="C510" t="s">
        <v>1329</v>
      </c>
      <c r="D510" t="s">
        <v>33</v>
      </c>
      <c r="E510" t="s">
        <v>51</v>
      </c>
      <c r="F510" t="s">
        <v>18</v>
      </c>
      <c r="G510" t="s">
        <v>19</v>
      </c>
      <c r="H510" t="s">
        <v>20</v>
      </c>
      <c r="I510" t="s">
        <v>29</v>
      </c>
      <c r="J510" t="s">
        <v>54</v>
      </c>
      <c r="K510" s="2">
        <v>48144.58</v>
      </c>
      <c r="L510" s="4">
        <v>10</v>
      </c>
      <c r="M510" s="3">
        <v>0.26</v>
      </c>
      <c r="N510" s="2">
        <v>-1444.34</v>
      </c>
    </row>
    <row r="511" spans="1:14" x14ac:dyDescent="0.3">
      <c r="A511" t="s">
        <v>1616</v>
      </c>
      <c r="B511" s="1">
        <v>45051</v>
      </c>
      <c r="C511" t="s">
        <v>1617</v>
      </c>
      <c r="D511" t="s">
        <v>25</v>
      </c>
      <c r="E511" t="s">
        <v>51</v>
      </c>
      <c r="F511" t="s">
        <v>40</v>
      </c>
      <c r="G511" t="s">
        <v>41</v>
      </c>
      <c r="H511" t="s">
        <v>42</v>
      </c>
      <c r="I511" t="s">
        <v>43</v>
      </c>
      <c r="J511" t="s">
        <v>30</v>
      </c>
      <c r="K511" s="2">
        <v>9487.76</v>
      </c>
      <c r="L511" s="4">
        <v>9</v>
      </c>
      <c r="M511" s="3">
        <v>0.26</v>
      </c>
      <c r="N511" s="2">
        <v>-284.63</v>
      </c>
    </row>
    <row r="512" spans="1:14" x14ac:dyDescent="0.3">
      <c r="A512" t="s">
        <v>1312</v>
      </c>
      <c r="B512" s="1">
        <v>45052</v>
      </c>
      <c r="C512" t="s">
        <v>1313</v>
      </c>
      <c r="D512" t="s">
        <v>33</v>
      </c>
      <c r="E512" t="s">
        <v>17</v>
      </c>
      <c r="F512" t="s">
        <v>18</v>
      </c>
      <c r="G512" t="s">
        <v>19</v>
      </c>
      <c r="H512" t="s">
        <v>20</v>
      </c>
      <c r="I512" t="s">
        <v>29</v>
      </c>
      <c r="J512" t="s">
        <v>64</v>
      </c>
      <c r="K512" s="2">
        <v>5108.91</v>
      </c>
      <c r="L512" s="4">
        <v>5</v>
      </c>
      <c r="M512" s="3">
        <v>0.27</v>
      </c>
      <c r="N512" s="2">
        <v>-178.81</v>
      </c>
    </row>
    <row r="513" spans="1:14" x14ac:dyDescent="0.3">
      <c r="A513" t="s">
        <v>1691</v>
      </c>
      <c r="B513" s="1">
        <v>45052</v>
      </c>
      <c r="C513" t="s">
        <v>446</v>
      </c>
      <c r="D513" t="s">
        <v>16</v>
      </c>
      <c r="E513" t="s">
        <v>51</v>
      </c>
      <c r="F513" t="s">
        <v>18</v>
      </c>
      <c r="G513" t="s">
        <v>19</v>
      </c>
      <c r="H513" t="s">
        <v>20</v>
      </c>
      <c r="I513" t="s">
        <v>43</v>
      </c>
      <c r="J513" t="s">
        <v>106</v>
      </c>
      <c r="K513" s="2">
        <v>5542.07</v>
      </c>
      <c r="L513" s="4">
        <v>10</v>
      </c>
      <c r="M513" s="3">
        <v>0.01</v>
      </c>
      <c r="N513" s="2">
        <v>526.5</v>
      </c>
    </row>
    <row r="514" spans="1:14" x14ac:dyDescent="0.3">
      <c r="A514" t="s">
        <v>372</v>
      </c>
      <c r="B514" s="1">
        <v>45052</v>
      </c>
      <c r="C514" t="s">
        <v>373</v>
      </c>
      <c r="D514" t="s">
        <v>57</v>
      </c>
      <c r="E514" t="s">
        <v>51</v>
      </c>
      <c r="F514" t="s">
        <v>79</v>
      </c>
      <c r="G514" t="s">
        <v>80</v>
      </c>
      <c r="H514" t="s">
        <v>47</v>
      </c>
      <c r="I514" t="s">
        <v>43</v>
      </c>
      <c r="J514" t="s">
        <v>22</v>
      </c>
      <c r="K514" s="2">
        <v>25500.39</v>
      </c>
      <c r="L514" s="4">
        <v>8</v>
      </c>
      <c r="M514" s="3">
        <v>0.03</v>
      </c>
      <c r="N514" s="2">
        <v>2167.5300000000002</v>
      </c>
    </row>
    <row r="515" spans="1:14" x14ac:dyDescent="0.3">
      <c r="A515" t="s">
        <v>1876</v>
      </c>
      <c r="B515" s="1">
        <v>45052</v>
      </c>
      <c r="C515" t="s">
        <v>227</v>
      </c>
      <c r="D515" t="s">
        <v>25</v>
      </c>
      <c r="E515" t="s">
        <v>26</v>
      </c>
      <c r="F515" t="s">
        <v>27</v>
      </c>
      <c r="G515" t="s">
        <v>28</v>
      </c>
      <c r="H515" t="s">
        <v>20</v>
      </c>
      <c r="I515" t="s">
        <v>43</v>
      </c>
      <c r="J515" t="s">
        <v>58</v>
      </c>
      <c r="K515" s="2">
        <v>18282.189999999999</v>
      </c>
      <c r="L515" s="4">
        <v>4</v>
      </c>
      <c r="M515" s="3">
        <v>0.16</v>
      </c>
      <c r="N515" s="2">
        <v>365.64</v>
      </c>
    </row>
    <row r="516" spans="1:14" x14ac:dyDescent="0.3">
      <c r="A516" t="s">
        <v>1777</v>
      </c>
      <c r="B516" s="1">
        <v>45052</v>
      </c>
      <c r="C516" t="s">
        <v>1507</v>
      </c>
      <c r="D516" t="s">
        <v>61</v>
      </c>
      <c r="E516" t="s">
        <v>26</v>
      </c>
      <c r="F516" t="s">
        <v>34</v>
      </c>
      <c r="G516" t="s">
        <v>35</v>
      </c>
      <c r="H516" t="s">
        <v>36</v>
      </c>
      <c r="I516" t="s">
        <v>29</v>
      </c>
      <c r="J516" t="s">
        <v>54</v>
      </c>
      <c r="K516" s="2">
        <v>14447.42</v>
      </c>
      <c r="L516" s="4">
        <v>9</v>
      </c>
      <c r="M516" s="3">
        <v>0.24</v>
      </c>
      <c r="N516" s="2">
        <v>-288.95</v>
      </c>
    </row>
    <row r="517" spans="1:14" x14ac:dyDescent="0.3">
      <c r="A517" t="s">
        <v>23</v>
      </c>
      <c r="B517" s="1">
        <v>45053</v>
      </c>
      <c r="C517" t="s">
        <v>24</v>
      </c>
      <c r="D517" t="s">
        <v>25</v>
      </c>
      <c r="E517" t="s">
        <v>26</v>
      </c>
      <c r="F517" t="s">
        <v>27</v>
      </c>
      <c r="G517" t="s">
        <v>28</v>
      </c>
      <c r="H517" t="s">
        <v>20</v>
      </c>
      <c r="I517" t="s">
        <v>29</v>
      </c>
      <c r="J517" t="s">
        <v>30</v>
      </c>
      <c r="K517" s="2">
        <v>35832.959999999999</v>
      </c>
      <c r="L517" s="4">
        <v>1</v>
      </c>
      <c r="M517" s="3">
        <v>0.21</v>
      </c>
      <c r="N517" s="2">
        <v>-179.16</v>
      </c>
    </row>
    <row r="518" spans="1:14" x14ac:dyDescent="0.3">
      <c r="A518" t="s">
        <v>1938</v>
      </c>
      <c r="B518" s="1">
        <v>45053</v>
      </c>
      <c r="C518" t="s">
        <v>1918</v>
      </c>
      <c r="D518" t="s">
        <v>57</v>
      </c>
      <c r="E518" t="s">
        <v>51</v>
      </c>
      <c r="F518" t="s">
        <v>18</v>
      </c>
      <c r="G518" t="s">
        <v>19</v>
      </c>
      <c r="H518" t="s">
        <v>20</v>
      </c>
      <c r="I518" t="s">
        <v>29</v>
      </c>
      <c r="J518" t="s">
        <v>64</v>
      </c>
      <c r="K518" s="2">
        <v>1357.25</v>
      </c>
      <c r="L518" s="4">
        <v>8</v>
      </c>
      <c r="M518" s="3">
        <v>0.22</v>
      </c>
      <c r="N518" s="2">
        <v>-13.57</v>
      </c>
    </row>
    <row r="519" spans="1:14" x14ac:dyDescent="0.3">
      <c r="A519" t="s">
        <v>2101</v>
      </c>
      <c r="B519" s="1">
        <v>45053</v>
      </c>
      <c r="C519" t="s">
        <v>1607</v>
      </c>
      <c r="D519" t="s">
        <v>33</v>
      </c>
      <c r="E519" t="s">
        <v>26</v>
      </c>
      <c r="F519" t="s">
        <v>34</v>
      </c>
      <c r="G519" t="s">
        <v>35</v>
      </c>
      <c r="H519" t="s">
        <v>36</v>
      </c>
      <c r="I519" t="s">
        <v>21</v>
      </c>
      <c r="J519" t="s">
        <v>37</v>
      </c>
      <c r="K519" s="2">
        <v>10361.9</v>
      </c>
      <c r="L519" s="4">
        <v>4</v>
      </c>
      <c r="M519" s="3">
        <v>0.11</v>
      </c>
      <c r="N519" s="2">
        <v>466.29</v>
      </c>
    </row>
    <row r="520" spans="1:14" x14ac:dyDescent="0.3">
      <c r="A520" t="s">
        <v>2155</v>
      </c>
      <c r="B520" s="1">
        <v>45053</v>
      </c>
      <c r="C520" t="s">
        <v>893</v>
      </c>
      <c r="D520" t="s">
        <v>25</v>
      </c>
      <c r="E520" t="s">
        <v>17</v>
      </c>
      <c r="F520" t="s">
        <v>18</v>
      </c>
      <c r="G520" t="s">
        <v>19</v>
      </c>
      <c r="H520" t="s">
        <v>20</v>
      </c>
      <c r="I520" t="s">
        <v>29</v>
      </c>
      <c r="J520" t="s">
        <v>37</v>
      </c>
      <c r="K520" s="2">
        <v>32423.94</v>
      </c>
      <c r="L520" s="4">
        <v>4</v>
      </c>
      <c r="M520" s="3">
        <v>0.05</v>
      </c>
      <c r="N520" s="2">
        <v>2431.8000000000002</v>
      </c>
    </row>
    <row r="521" spans="1:14" x14ac:dyDescent="0.3">
      <c r="A521" t="s">
        <v>995</v>
      </c>
      <c r="B521" s="1">
        <v>45053</v>
      </c>
      <c r="C521" t="s">
        <v>565</v>
      </c>
      <c r="D521" t="s">
        <v>85</v>
      </c>
      <c r="E521" t="s">
        <v>51</v>
      </c>
      <c r="F521" t="s">
        <v>46</v>
      </c>
      <c r="G521" t="s">
        <v>46</v>
      </c>
      <c r="H521" t="s">
        <v>47</v>
      </c>
      <c r="I521" t="s">
        <v>21</v>
      </c>
      <c r="J521" t="s">
        <v>106</v>
      </c>
      <c r="K521" s="2">
        <v>13341.42</v>
      </c>
      <c r="L521" s="4">
        <v>8</v>
      </c>
      <c r="M521" s="3">
        <v>0.24</v>
      </c>
      <c r="N521" s="2">
        <v>-266.83</v>
      </c>
    </row>
    <row r="522" spans="1:14" x14ac:dyDescent="0.3">
      <c r="A522" t="s">
        <v>92</v>
      </c>
      <c r="B522" s="1">
        <v>45053</v>
      </c>
      <c r="C522" t="s">
        <v>93</v>
      </c>
      <c r="D522" t="s">
        <v>16</v>
      </c>
      <c r="E522" t="s">
        <v>26</v>
      </c>
      <c r="F522" t="s">
        <v>79</v>
      </c>
      <c r="G522" t="s">
        <v>80</v>
      </c>
      <c r="H522" t="s">
        <v>47</v>
      </c>
      <c r="I522" t="s">
        <v>21</v>
      </c>
      <c r="J522" t="s">
        <v>54</v>
      </c>
      <c r="K522" s="2">
        <v>37042.78</v>
      </c>
      <c r="L522" s="4">
        <v>3</v>
      </c>
      <c r="M522" s="3">
        <v>0.08</v>
      </c>
      <c r="N522" s="2">
        <v>2222.5700000000002</v>
      </c>
    </row>
    <row r="523" spans="1:14" x14ac:dyDescent="0.3">
      <c r="A523" t="s">
        <v>1671</v>
      </c>
      <c r="B523" s="1">
        <v>45054</v>
      </c>
      <c r="C523" t="s">
        <v>1672</v>
      </c>
      <c r="D523" t="s">
        <v>57</v>
      </c>
      <c r="E523" t="s">
        <v>26</v>
      </c>
      <c r="F523" t="s">
        <v>18</v>
      </c>
      <c r="G523" t="s">
        <v>19</v>
      </c>
      <c r="H523" t="s">
        <v>20</v>
      </c>
      <c r="I523" t="s">
        <v>21</v>
      </c>
      <c r="J523" t="s">
        <v>58</v>
      </c>
      <c r="K523" s="2">
        <v>28458</v>
      </c>
      <c r="L523" s="4">
        <v>3</v>
      </c>
      <c r="M523" s="3">
        <v>0.18</v>
      </c>
      <c r="N523" s="2">
        <v>284.58</v>
      </c>
    </row>
    <row r="524" spans="1:14" x14ac:dyDescent="0.3">
      <c r="A524" t="s">
        <v>94</v>
      </c>
      <c r="B524" s="1">
        <v>45054</v>
      </c>
      <c r="C524" t="s">
        <v>95</v>
      </c>
      <c r="D524" t="s">
        <v>57</v>
      </c>
      <c r="E524" t="s">
        <v>26</v>
      </c>
      <c r="F524" t="s">
        <v>27</v>
      </c>
      <c r="G524" t="s">
        <v>28</v>
      </c>
      <c r="H524" t="s">
        <v>20</v>
      </c>
      <c r="I524" t="s">
        <v>43</v>
      </c>
      <c r="J524" t="s">
        <v>37</v>
      </c>
      <c r="K524" s="2">
        <v>5980</v>
      </c>
      <c r="L524" s="4">
        <v>6</v>
      </c>
      <c r="M524" s="3">
        <v>7.0000000000000007E-2</v>
      </c>
      <c r="N524" s="2">
        <v>388.7</v>
      </c>
    </row>
    <row r="525" spans="1:14" x14ac:dyDescent="0.3">
      <c r="A525" t="s">
        <v>1889</v>
      </c>
      <c r="B525" s="1">
        <v>45054</v>
      </c>
      <c r="C525" t="s">
        <v>290</v>
      </c>
      <c r="D525" t="s">
        <v>25</v>
      </c>
      <c r="E525" t="s">
        <v>26</v>
      </c>
      <c r="F525" t="s">
        <v>79</v>
      </c>
      <c r="G525" t="s">
        <v>80</v>
      </c>
      <c r="H525" t="s">
        <v>47</v>
      </c>
      <c r="I525" t="s">
        <v>29</v>
      </c>
      <c r="J525" t="s">
        <v>37</v>
      </c>
      <c r="K525" s="2">
        <v>34920.47</v>
      </c>
      <c r="L525" s="4">
        <v>3</v>
      </c>
      <c r="M525" s="3">
        <v>0.27</v>
      </c>
      <c r="N525" s="2">
        <v>-1222.22</v>
      </c>
    </row>
    <row r="526" spans="1:14" x14ac:dyDescent="0.3">
      <c r="A526" t="s">
        <v>882</v>
      </c>
      <c r="B526" s="1">
        <v>45055</v>
      </c>
      <c r="C526" t="s">
        <v>883</v>
      </c>
      <c r="D526" t="s">
        <v>25</v>
      </c>
      <c r="E526" t="s">
        <v>26</v>
      </c>
      <c r="F526" t="s">
        <v>34</v>
      </c>
      <c r="G526" t="s">
        <v>35</v>
      </c>
      <c r="H526" t="s">
        <v>36</v>
      </c>
      <c r="I526" t="s">
        <v>29</v>
      </c>
      <c r="J526" t="s">
        <v>54</v>
      </c>
      <c r="K526" s="2">
        <v>43219.96</v>
      </c>
      <c r="L526" s="4">
        <v>3</v>
      </c>
      <c r="M526" s="3">
        <v>0.11</v>
      </c>
      <c r="N526" s="2">
        <v>1944.9</v>
      </c>
    </row>
    <row r="527" spans="1:14" x14ac:dyDescent="0.3">
      <c r="A527" t="s">
        <v>1806</v>
      </c>
      <c r="B527" s="1">
        <v>45055</v>
      </c>
      <c r="C527" t="s">
        <v>1807</v>
      </c>
      <c r="D527" t="s">
        <v>57</v>
      </c>
      <c r="E527" t="s">
        <v>51</v>
      </c>
      <c r="F527" t="s">
        <v>27</v>
      </c>
      <c r="G527" t="s">
        <v>28</v>
      </c>
      <c r="H527" t="s">
        <v>20</v>
      </c>
      <c r="I527" t="s">
        <v>21</v>
      </c>
      <c r="J527" t="s">
        <v>58</v>
      </c>
      <c r="K527" s="2">
        <v>31316.78</v>
      </c>
      <c r="L527" s="4">
        <v>10</v>
      </c>
      <c r="M527" s="3">
        <v>0.26</v>
      </c>
      <c r="N527" s="2">
        <v>-939.5</v>
      </c>
    </row>
    <row r="528" spans="1:14" x14ac:dyDescent="0.3">
      <c r="A528" t="s">
        <v>2044</v>
      </c>
      <c r="B528" s="1">
        <v>45056</v>
      </c>
      <c r="C528" t="s">
        <v>39</v>
      </c>
      <c r="D528" t="s">
        <v>33</v>
      </c>
      <c r="E528" t="s">
        <v>17</v>
      </c>
      <c r="F528" t="s">
        <v>18</v>
      </c>
      <c r="G528" t="s">
        <v>19</v>
      </c>
      <c r="H528" t="s">
        <v>20</v>
      </c>
      <c r="I528" t="s">
        <v>43</v>
      </c>
      <c r="J528" t="s">
        <v>22</v>
      </c>
      <c r="K528" s="2">
        <v>6126.7</v>
      </c>
      <c r="L528" s="4">
        <v>3</v>
      </c>
      <c r="M528" s="3">
        <v>0.28000000000000003</v>
      </c>
      <c r="N528" s="2">
        <v>-245.07</v>
      </c>
    </row>
    <row r="529" spans="1:14" x14ac:dyDescent="0.3">
      <c r="A529" t="s">
        <v>1559</v>
      </c>
      <c r="B529" s="1">
        <v>45056</v>
      </c>
      <c r="C529" t="s">
        <v>1354</v>
      </c>
      <c r="D529" t="s">
        <v>57</v>
      </c>
      <c r="E529" t="s">
        <v>17</v>
      </c>
      <c r="F529" t="s">
        <v>40</v>
      </c>
      <c r="G529" t="s">
        <v>41</v>
      </c>
      <c r="H529" t="s">
        <v>42</v>
      </c>
      <c r="I529" t="s">
        <v>21</v>
      </c>
      <c r="J529" t="s">
        <v>106</v>
      </c>
      <c r="K529" s="2">
        <v>47039.83</v>
      </c>
      <c r="L529" s="4">
        <v>6</v>
      </c>
      <c r="M529" s="3">
        <v>0.22</v>
      </c>
      <c r="N529" s="2">
        <v>-470.4</v>
      </c>
    </row>
    <row r="530" spans="1:14" x14ac:dyDescent="0.3">
      <c r="A530" t="s">
        <v>724</v>
      </c>
      <c r="B530" s="1">
        <v>45057</v>
      </c>
      <c r="C530" t="s">
        <v>388</v>
      </c>
      <c r="D530" t="s">
        <v>57</v>
      </c>
      <c r="E530" t="s">
        <v>17</v>
      </c>
      <c r="F530" t="s">
        <v>18</v>
      </c>
      <c r="G530" t="s">
        <v>19</v>
      </c>
      <c r="H530" t="s">
        <v>20</v>
      </c>
      <c r="I530" t="s">
        <v>21</v>
      </c>
      <c r="J530" t="s">
        <v>54</v>
      </c>
      <c r="K530" s="2">
        <v>21919.93</v>
      </c>
      <c r="L530" s="4">
        <v>6</v>
      </c>
      <c r="M530" s="3">
        <v>0.06</v>
      </c>
      <c r="N530" s="2">
        <v>1534.4</v>
      </c>
    </row>
    <row r="531" spans="1:14" x14ac:dyDescent="0.3">
      <c r="A531" t="s">
        <v>1122</v>
      </c>
      <c r="B531" s="1">
        <v>45057</v>
      </c>
      <c r="C531" t="s">
        <v>788</v>
      </c>
      <c r="D531" t="s">
        <v>57</v>
      </c>
      <c r="E531" t="s">
        <v>26</v>
      </c>
      <c r="F531" t="s">
        <v>18</v>
      </c>
      <c r="G531" t="s">
        <v>19</v>
      </c>
      <c r="H531" t="s">
        <v>20</v>
      </c>
      <c r="I531" t="s">
        <v>43</v>
      </c>
      <c r="J531" t="s">
        <v>37</v>
      </c>
      <c r="K531" s="2">
        <v>35404.699999999997</v>
      </c>
      <c r="L531" s="4">
        <v>10</v>
      </c>
      <c r="M531" s="3">
        <v>0.02</v>
      </c>
      <c r="N531" s="2">
        <v>3186.42</v>
      </c>
    </row>
    <row r="532" spans="1:14" x14ac:dyDescent="0.3">
      <c r="A532" t="s">
        <v>2168</v>
      </c>
      <c r="B532" s="1">
        <v>45057</v>
      </c>
      <c r="C532" t="s">
        <v>2169</v>
      </c>
      <c r="D532" t="s">
        <v>50</v>
      </c>
      <c r="E532" t="s">
        <v>51</v>
      </c>
      <c r="F532" t="s">
        <v>34</v>
      </c>
      <c r="G532" t="s">
        <v>35</v>
      </c>
      <c r="H532" t="s">
        <v>36</v>
      </c>
      <c r="I532" t="s">
        <v>43</v>
      </c>
      <c r="J532" t="s">
        <v>58</v>
      </c>
      <c r="K532" s="2">
        <v>7390.91</v>
      </c>
      <c r="L532" s="4">
        <v>4</v>
      </c>
      <c r="M532" s="3">
        <v>0.05</v>
      </c>
      <c r="N532" s="2">
        <v>554.32000000000005</v>
      </c>
    </row>
    <row r="533" spans="1:14" x14ac:dyDescent="0.3">
      <c r="A533" t="s">
        <v>2234</v>
      </c>
      <c r="B533" s="1">
        <v>45057</v>
      </c>
      <c r="C533" t="s">
        <v>148</v>
      </c>
      <c r="D533" t="s">
        <v>85</v>
      </c>
      <c r="E533" t="s">
        <v>26</v>
      </c>
      <c r="F533" t="s">
        <v>46</v>
      </c>
      <c r="G533" t="s">
        <v>46</v>
      </c>
      <c r="H533" t="s">
        <v>47</v>
      </c>
      <c r="I533" t="s">
        <v>21</v>
      </c>
      <c r="J533" t="s">
        <v>64</v>
      </c>
      <c r="K533" s="2">
        <v>46489.33</v>
      </c>
      <c r="L533" s="4">
        <v>9</v>
      </c>
      <c r="M533" s="3">
        <v>0.28000000000000003</v>
      </c>
      <c r="N533" s="2">
        <v>-1859.57</v>
      </c>
    </row>
    <row r="534" spans="1:14" x14ac:dyDescent="0.3">
      <c r="A534" t="s">
        <v>2046</v>
      </c>
      <c r="B534" s="1">
        <v>45057</v>
      </c>
      <c r="C534" t="s">
        <v>2047</v>
      </c>
      <c r="D534" t="s">
        <v>61</v>
      </c>
      <c r="E534" t="s">
        <v>17</v>
      </c>
      <c r="F534" t="s">
        <v>18</v>
      </c>
      <c r="G534" t="s">
        <v>19</v>
      </c>
      <c r="H534" t="s">
        <v>20</v>
      </c>
      <c r="I534" t="s">
        <v>43</v>
      </c>
      <c r="J534" t="s">
        <v>30</v>
      </c>
      <c r="K534" s="2">
        <v>33772.69</v>
      </c>
      <c r="L534" s="4">
        <v>6</v>
      </c>
      <c r="M534" s="3">
        <v>0.21</v>
      </c>
      <c r="N534" s="2">
        <v>-168.86</v>
      </c>
    </row>
    <row r="535" spans="1:14" x14ac:dyDescent="0.3">
      <c r="A535" t="s">
        <v>722</v>
      </c>
      <c r="B535" s="1">
        <v>45058</v>
      </c>
      <c r="C535" t="s">
        <v>723</v>
      </c>
      <c r="D535" t="s">
        <v>33</v>
      </c>
      <c r="E535" t="s">
        <v>17</v>
      </c>
      <c r="F535" t="s">
        <v>34</v>
      </c>
      <c r="G535" t="s">
        <v>35</v>
      </c>
      <c r="H535" t="s">
        <v>36</v>
      </c>
      <c r="I535" t="s">
        <v>29</v>
      </c>
      <c r="J535" t="s">
        <v>64</v>
      </c>
      <c r="K535" s="2">
        <v>44748.95</v>
      </c>
      <c r="L535" s="4">
        <v>3</v>
      </c>
      <c r="M535" s="3">
        <v>0.09</v>
      </c>
      <c r="N535" s="2">
        <v>2461.19</v>
      </c>
    </row>
    <row r="536" spans="1:14" x14ac:dyDescent="0.3">
      <c r="A536" t="s">
        <v>1685</v>
      </c>
      <c r="B536" s="1">
        <v>45058</v>
      </c>
      <c r="C536" t="s">
        <v>1686</v>
      </c>
      <c r="D536" t="s">
        <v>33</v>
      </c>
      <c r="E536" t="s">
        <v>51</v>
      </c>
      <c r="F536" t="s">
        <v>79</v>
      </c>
      <c r="G536" t="s">
        <v>80</v>
      </c>
      <c r="H536" t="s">
        <v>47</v>
      </c>
      <c r="I536" t="s">
        <v>21</v>
      </c>
      <c r="J536" t="s">
        <v>58</v>
      </c>
      <c r="K536" s="2">
        <v>10314.64</v>
      </c>
      <c r="L536" s="4">
        <v>7</v>
      </c>
      <c r="M536" s="3">
        <v>0.19</v>
      </c>
      <c r="N536" s="2">
        <v>51.57</v>
      </c>
    </row>
    <row r="537" spans="1:14" x14ac:dyDescent="0.3">
      <c r="A537" t="s">
        <v>1724</v>
      </c>
      <c r="B537" s="1">
        <v>45058</v>
      </c>
      <c r="C537" t="s">
        <v>1725</v>
      </c>
      <c r="D537" t="s">
        <v>61</v>
      </c>
      <c r="E537" t="s">
        <v>51</v>
      </c>
      <c r="F537" t="s">
        <v>46</v>
      </c>
      <c r="G537" t="s">
        <v>46</v>
      </c>
      <c r="H537" t="s">
        <v>47</v>
      </c>
      <c r="I537" t="s">
        <v>21</v>
      </c>
      <c r="J537" t="s">
        <v>37</v>
      </c>
      <c r="K537" s="2">
        <v>39386.870000000003</v>
      </c>
      <c r="L537" s="4">
        <v>10</v>
      </c>
      <c r="M537" s="3">
        <v>0.18</v>
      </c>
      <c r="N537" s="2">
        <v>393.87</v>
      </c>
    </row>
    <row r="538" spans="1:14" x14ac:dyDescent="0.3">
      <c r="A538" t="s">
        <v>1400</v>
      </c>
      <c r="B538" s="1">
        <v>45059</v>
      </c>
      <c r="C538" t="s">
        <v>1401</v>
      </c>
      <c r="D538" t="s">
        <v>85</v>
      </c>
      <c r="E538" t="s">
        <v>17</v>
      </c>
      <c r="F538" t="s">
        <v>79</v>
      </c>
      <c r="G538" t="s">
        <v>80</v>
      </c>
      <c r="H538" t="s">
        <v>47</v>
      </c>
      <c r="I538" t="s">
        <v>29</v>
      </c>
      <c r="J538" t="s">
        <v>58</v>
      </c>
      <c r="K538" s="2">
        <v>2625.87</v>
      </c>
      <c r="L538" s="4">
        <v>9</v>
      </c>
      <c r="M538" s="3">
        <v>0.08</v>
      </c>
      <c r="N538" s="2">
        <v>157.55000000000001</v>
      </c>
    </row>
    <row r="539" spans="1:14" x14ac:dyDescent="0.3">
      <c r="A539" t="s">
        <v>1700</v>
      </c>
      <c r="B539" s="1">
        <v>45059</v>
      </c>
      <c r="C539" t="s">
        <v>1447</v>
      </c>
      <c r="D539" t="s">
        <v>57</v>
      </c>
      <c r="E539" t="s">
        <v>17</v>
      </c>
      <c r="F539" t="s">
        <v>27</v>
      </c>
      <c r="G539" t="s">
        <v>28</v>
      </c>
      <c r="H539" t="s">
        <v>20</v>
      </c>
      <c r="I539" t="s">
        <v>21</v>
      </c>
      <c r="J539" t="s">
        <v>106</v>
      </c>
      <c r="K539" s="2">
        <v>40516.639999999999</v>
      </c>
      <c r="L539" s="4">
        <v>9</v>
      </c>
      <c r="M539" s="3">
        <v>0.13</v>
      </c>
      <c r="N539" s="2">
        <v>1418.08</v>
      </c>
    </row>
    <row r="540" spans="1:14" x14ac:dyDescent="0.3">
      <c r="A540" t="s">
        <v>1294</v>
      </c>
      <c r="B540" s="1">
        <v>45060</v>
      </c>
      <c r="C540" t="s">
        <v>1295</v>
      </c>
      <c r="D540" t="s">
        <v>25</v>
      </c>
      <c r="E540" t="s">
        <v>26</v>
      </c>
      <c r="F540" t="s">
        <v>46</v>
      </c>
      <c r="G540" t="s">
        <v>46</v>
      </c>
      <c r="H540" t="s">
        <v>47</v>
      </c>
      <c r="I540" t="s">
        <v>43</v>
      </c>
      <c r="J540" t="s">
        <v>37</v>
      </c>
      <c r="K540" s="2">
        <v>46817.33</v>
      </c>
      <c r="L540" s="4">
        <v>10</v>
      </c>
      <c r="M540" s="3">
        <v>0.27</v>
      </c>
      <c r="N540" s="2">
        <v>-1638.61</v>
      </c>
    </row>
    <row r="541" spans="1:14" x14ac:dyDescent="0.3">
      <c r="A541" t="s">
        <v>1696</v>
      </c>
      <c r="B541" s="1">
        <v>45060</v>
      </c>
      <c r="C541" t="s">
        <v>643</v>
      </c>
      <c r="D541" t="s">
        <v>33</v>
      </c>
      <c r="E541" t="s">
        <v>51</v>
      </c>
      <c r="F541" t="s">
        <v>27</v>
      </c>
      <c r="G541" t="s">
        <v>28</v>
      </c>
      <c r="H541" t="s">
        <v>20</v>
      </c>
      <c r="I541" t="s">
        <v>29</v>
      </c>
      <c r="J541" t="s">
        <v>58</v>
      </c>
      <c r="K541" s="2">
        <v>6601.99</v>
      </c>
      <c r="L541" s="4">
        <v>7</v>
      </c>
      <c r="M541" s="3">
        <v>0.15</v>
      </c>
      <c r="N541" s="2">
        <v>165.05</v>
      </c>
    </row>
    <row r="542" spans="1:14" x14ac:dyDescent="0.3">
      <c r="A542" t="s">
        <v>1858</v>
      </c>
      <c r="B542" s="1">
        <v>45060</v>
      </c>
      <c r="C542" t="s">
        <v>1321</v>
      </c>
      <c r="D542" t="s">
        <v>33</v>
      </c>
      <c r="E542" t="s">
        <v>51</v>
      </c>
      <c r="F542" t="s">
        <v>34</v>
      </c>
      <c r="G542" t="s">
        <v>35</v>
      </c>
      <c r="H542" t="s">
        <v>36</v>
      </c>
      <c r="I542" t="s">
        <v>21</v>
      </c>
      <c r="J542" t="s">
        <v>37</v>
      </c>
      <c r="K542" s="2">
        <v>40070.85</v>
      </c>
      <c r="L542" s="4">
        <v>1</v>
      </c>
      <c r="M542" s="3">
        <v>0.01</v>
      </c>
      <c r="N542" s="2">
        <v>3806.73</v>
      </c>
    </row>
    <row r="543" spans="1:14" x14ac:dyDescent="0.3">
      <c r="A543" t="s">
        <v>809</v>
      </c>
      <c r="B543" s="1">
        <v>45060</v>
      </c>
      <c r="C543" t="s">
        <v>386</v>
      </c>
      <c r="D543" t="s">
        <v>61</v>
      </c>
      <c r="E543" t="s">
        <v>51</v>
      </c>
      <c r="F543" t="s">
        <v>40</v>
      </c>
      <c r="G543" t="s">
        <v>41</v>
      </c>
      <c r="H543" t="s">
        <v>42</v>
      </c>
      <c r="I543" t="s">
        <v>43</v>
      </c>
      <c r="J543" t="s">
        <v>22</v>
      </c>
      <c r="K543" s="2">
        <v>18731.810000000001</v>
      </c>
      <c r="L543" s="4">
        <v>8</v>
      </c>
      <c r="M543" s="3">
        <v>0.13</v>
      </c>
      <c r="N543" s="2">
        <v>655.61</v>
      </c>
    </row>
    <row r="544" spans="1:14" x14ac:dyDescent="0.3">
      <c r="A544" t="s">
        <v>351</v>
      </c>
      <c r="B544" s="1">
        <v>45061</v>
      </c>
      <c r="C544" t="s">
        <v>246</v>
      </c>
      <c r="D544" t="s">
        <v>25</v>
      </c>
      <c r="E544" t="s">
        <v>51</v>
      </c>
      <c r="F544" t="s">
        <v>40</v>
      </c>
      <c r="G544" t="s">
        <v>41</v>
      </c>
      <c r="H544" t="s">
        <v>42</v>
      </c>
      <c r="I544" t="s">
        <v>21</v>
      </c>
      <c r="J544" t="s">
        <v>58</v>
      </c>
      <c r="K544" s="2">
        <v>36416.730000000003</v>
      </c>
      <c r="L544" s="4">
        <v>9</v>
      </c>
      <c r="M544" s="3">
        <v>0.17</v>
      </c>
      <c r="N544" s="2">
        <v>546.25</v>
      </c>
    </row>
    <row r="545" spans="1:14" x14ac:dyDescent="0.3">
      <c r="A545" t="s">
        <v>564</v>
      </c>
      <c r="B545" s="1">
        <v>45061</v>
      </c>
      <c r="C545" t="s">
        <v>565</v>
      </c>
      <c r="D545" t="s">
        <v>33</v>
      </c>
      <c r="E545" t="s">
        <v>51</v>
      </c>
      <c r="F545" t="s">
        <v>46</v>
      </c>
      <c r="G545" t="s">
        <v>46</v>
      </c>
      <c r="H545" t="s">
        <v>47</v>
      </c>
      <c r="I545" t="s">
        <v>21</v>
      </c>
      <c r="J545" t="s">
        <v>106</v>
      </c>
      <c r="K545" s="2">
        <v>38529.35</v>
      </c>
      <c r="L545" s="4">
        <v>2</v>
      </c>
      <c r="M545" s="3">
        <v>0.17</v>
      </c>
      <c r="N545" s="2">
        <v>577.94000000000005</v>
      </c>
    </row>
    <row r="546" spans="1:14" x14ac:dyDescent="0.3">
      <c r="A546" t="s">
        <v>1307</v>
      </c>
      <c r="B546" s="1">
        <v>45061</v>
      </c>
      <c r="C546" t="s">
        <v>1229</v>
      </c>
      <c r="D546" t="s">
        <v>85</v>
      </c>
      <c r="E546" t="s">
        <v>17</v>
      </c>
      <c r="F546" t="s">
        <v>27</v>
      </c>
      <c r="G546" t="s">
        <v>28</v>
      </c>
      <c r="H546" t="s">
        <v>20</v>
      </c>
      <c r="I546" t="s">
        <v>29</v>
      </c>
      <c r="J546" t="s">
        <v>58</v>
      </c>
      <c r="K546" s="2">
        <v>16790.79</v>
      </c>
      <c r="L546" s="4">
        <v>2</v>
      </c>
      <c r="M546" s="3">
        <v>0.02</v>
      </c>
      <c r="N546" s="2">
        <v>1511.17</v>
      </c>
    </row>
    <row r="547" spans="1:14" x14ac:dyDescent="0.3">
      <c r="A547" t="s">
        <v>199</v>
      </c>
      <c r="B547" s="1">
        <v>45061</v>
      </c>
      <c r="C547" t="s">
        <v>200</v>
      </c>
      <c r="D547" t="s">
        <v>33</v>
      </c>
      <c r="E547" t="s">
        <v>17</v>
      </c>
      <c r="F547" t="s">
        <v>79</v>
      </c>
      <c r="G547" t="s">
        <v>80</v>
      </c>
      <c r="H547" t="s">
        <v>47</v>
      </c>
      <c r="I547" t="s">
        <v>21</v>
      </c>
      <c r="J547" t="s">
        <v>106</v>
      </c>
      <c r="K547" s="2">
        <v>38287.32</v>
      </c>
      <c r="L547" s="4">
        <v>8</v>
      </c>
      <c r="M547" s="3">
        <v>0.12</v>
      </c>
      <c r="N547" s="2">
        <v>1531.49</v>
      </c>
    </row>
    <row r="548" spans="1:14" x14ac:dyDescent="0.3">
      <c r="A548" t="s">
        <v>2212</v>
      </c>
      <c r="B548" s="1">
        <v>45061</v>
      </c>
      <c r="C548" t="s">
        <v>1432</v>
      </c>
      <c r="D548" t="s">
        <v>61</v>
      </c>
      <c r="E548" t="s">
        <v>51</v>
      </c>
      <c r="F548" t="s">
        <v>34</v>
      </c>
      <c r="G548" t="s">
        <v>35</v>
      </c>
      <c r="H548" t="s">
        <v>36</v>
      </c>
      <c r="I548" t="s">
        <v>29</v>
      </c>
      <c r="J548" t="s">
        <v>37</v>
      </c>
      <c r="K548" s="2">
        <v>49909.06</v>
      </c>
      <c r="L548" s="4">
        <v>6</v>
      </c>
      <c r="M548" s="3">
        <v>0.24</v>
      </c>
      <c r="N548" s="2">
        <v>-998.18</v>
      </c>
    </row>
    <row r="549" spans="1:14" x14ac:dyDescent="0.3">
      <c r="A549" t="s">
        <v>1618</v>
      </c>
      <c r="B549" s="1">
        <v>45061</v>
      </c>
      <c r="C549" t="s">
        <v>1619</v>
      </c>
      <c r="D549" t="s">
        <v>50</v>
      </c>
      <c r="E549" t="s">
        <v>51</v>
      </c>
      <c r="F549" t="s">
        <v>18</v>
      </c>
      <c r="G549" t="s">
        <v>19</v>
      </c>
      <c r="H549" t="s">
        <v>20</v>
      </c>
      <c r="I549" t="s">
        <v>29</v>
      </c>
      <c r="J549" t="s">
        <v>106</v>
      </c>
      <c r="K549" s="2">
        <v>33868.75</v>
      </c>
      <c r="L549" s="4">
        <v>9</v>
      </c>
      <c r="M549" s="3">
        <v>0.27</v>
      </c>
      <c r="N549" s="2">
        <v>-1185.4100000000001</v>
      </c>
    </row>
    <row r="550" spans="1:14" x14ac:dyDescent="0.3">
      <c r="A550" t="s">
        <v>258</v>
      </c>
      <c r="B550" s="1">
        <v>45061</v>
      </c>
      <c r="C550" t="s">
        <v>259</v>
      </c>
      <c r="D550" t="s">
        <v>16</v>
      </c>
      <c r="E550" t="s">
        <v>17</v>
      </c>
      <c r="F550" t="s">
        <v>34</v>
      </c>
      <c r="G550" t="s">
        <v>35</v>
      </c>
      <c r="H550" t="s">
        <v>36</v>
      </c>
      <c r="I550" t="s">
        <v>21</v>
      </c>
      <c r="J550" t="s">
        <v>58</v>
      </c>
      <c r="K550" s="2">
        <v>34162.629999999997</v>
      </c>
      <c r="L550" s="4">
        <v>1</v>
      </c>
      <c r="M550" s="3">
        <v>0.06</v>
      </c>
      <c r="N550" s="2">
        <v>2391.38</v>
      </c>
    </row>
    <row r="551" spans="1:14" x14ac:dyDescent="0.3">
      <c r="A551" t="s">
        <v>671</v>
      </c>
      <c r="B551" s="1">
        <v>45061</v>
      </c>
      <c r="C551" t="s">
        <v>672</v>
      </c>
      <c r="D551" t="s">
        <v>50</v>
      </c>
      <c r="E551" t="s">
        <v>26</v>
      </c>
      <c r="F551" t="s">
        <v>79</v>
      </c>
      <c r="G551" t="s">
        <v>80</v>
      </c>
      <c r="H551" t="s">
        <v>47</v>
      </c>
      <c r="I551" t="s">
        <v>21</v>
      </c>
      <c r="J551" t="s">
        <v>30</v>
      </c>
      <c r="K551" s="2">
        <v>12496.9</v>
      </c>
      <c r="L551" s="4">
        <v>4</v>
      </c>
      <c r="M551" s="3">
        <v>0.18</v>
      </c>
      <c r="N551" s="2">
        <v>124.97</v>
      </c>
    </row>
    <row r="552" spans="1:14" x14ac:dyDescent="0.3">
      <c r="A552" t="s">
        <v>217</v>
      </c>
      <c r="B552" s="1">
        <v>45061</v>
      </c>
      <c r="C552" t="s">
        <v>218</v>
      </c>
      <c r="D552" t="s">
        <v>57</v>
      </c>
      <c r="E552" t="s">
        <v>51</v>
      </c>
      <c r="F552" t="s">
        <v>27</v>
      </c>
      <c r="G552" t="s">
        <v>28</v>
      </c>
      <c r="H552" t="s">
        <v>20</v>
      </c>
      <c r="I552" t="s">
        <v>29</v>
      </c>
      <c r="J552" t="s">
        <v>58</v>
      </c>
      <c r="K552" s="2">
        <v>31472.51</v>
      </c>
      <c r="L552" s="4">
        <v>7</v>
      </c>
      <c r="M552" s="3">
        <v>0.03</v>
      </c>
      <c r="N552" s="2">
        <v>2675.16</v>
      </c>
    </row>
    <row r="553" spans="1:14" x14ac:dyDescent="0.3">
      <c r="A553" t="s">
        <v>77</v>
      </c>
      <c r="B553" s="1">
        <v>45062</v>
      </c>
      <c r="C553" t="s">
        <v>78</v>
      </c>
      <c r="D553" t="s">
        <v>57</v>
      </c>
      <c r="E553" t="s">
        <v>51</v>
      </c>
      <c r="F553" t="s">
        <v>79</v>
      </c>
      <c r="G553" t="s">
        <v>80</v>
      </c>
      <c r="H553" t="s">
        <v>47</v>
      </c>
      <c r="I553" t="s">
        <v>43</v>
      </c>
      <c r="J553" t="s">
        <v>37</v>
      </c>
      <c r="K553" s="2">
        <v>39217.68</v>
      </c>
      <c r="L553" s="4">
        <v>4</v>
      </c>
      <c r="M553" s="3">
        <v>0.28000000000000003</v>
      </c>
      <c r="N553" s="2">
        <v>-1568.71</v>
      </c>
    </row>
    <row r="554" spans="1:14" x14ac:dyDescent="0.3">
      <c r="A554" t="s">
        <v>239</v>
      </c>
      <c r="B554" s="1">
        <v>45062</v>
      </c>
      <c r="C554" t="s">
        <v>110</v>
      </c>
      <c r="D554" t="s">
        <v>50</v>
      </c>
      <c r="E554" t="s">
        <v>51</v>
      </c>
      <c r="F554" t="s">
        <v>27</v>
      </c>
      <c r="G554" t="s">
        <v>28</v>
      </c>
      <c r="H554" t="s">
        <v>20</v>
      </c>
      <c r="I554" t="s">
        <v>43</v>
      </c>
      <c r="J554" t="s">
        <v>30</v>
      </c>
      <c r="K554" s="2">
        <v>1675.16</v>
      </c>
      <c r="L554" s="4">
        <v>8</v>
      </c>
      <c r="M554" s="3">
        <v>0.25</v>
      </c>
      <c r="N554" s="2">
        <v>-41.88</v>
      </c>
    </row>
    <row r="555" spans="1:14" x14ac:dyDescent="0.3">
      <c r="A555" t="s">
        <v>347</v>
      </c>
      <c r="B555" s="1">
        <v>45062</v>
      </c>
      <c r="C555" t="s">
        <v>348</v>
      </c>
      <c r="D555" t="s">
        <v>16</v>
      </c>
      <c r="E555" t="s">
        <v>26</v>
      </c>
      <c r="F555" t="s">
        <v>27</v>
      </c>
      <c r="G555" t="s">
        <v>28</v>
      </c>
      <c r="H555" t="s">
        <v>20</v>
      </c>
      <c r="I555" t="s">
        <v>21</v>
      </c>
      <c r="J555" t="s">
        <v>37</v>
      </c>
      <c r="K555" s="2">
        <v>33508.85</v>
      </c>
      <c r="L555" s="4">
        <v>2</v>
      </c>
      <c r="M555" s="3">
        <v>0.3</v>
      </c>
      <c r="N555" s="2">
        <v>-1675.44</v>
      </c>
    </row>
    <row r="556" spans="1:14" x14ac:dyDescent="0.3">
      <c r="A556" t="s">
        <v>1064</v>
      </c>
      <c r="B556" s="1">
        <v>45062</v>
      </c>
      <c r="C556" t="s">
        <v>538</v>
      </c>
      <c r="D556" t="s">
        <v>85</v>
      </c>
      <c r="E556" t="s">
        <v>51</v>
      </c>
      <c r="F556" t="s">
        <v>18</v>
      </c>
      <c r="G556" t="s">
        <v>19</v>
      </c>
      <c r="H556" t="s">
        <v>20</v>
      </c>
      <c r="I556" t="s">
        <v>29</v>
      </c>
      <c r="J556" t="s">
        <v>106</v>
      </c>
      <c r="K556" s="2">
        <v>19099.240000000002</v>
      </c>
      <c r="L556" s="4">
        <v>1</v>
      </c>
      <c r="M556" s="3">
        <v>0.2</v>
      </c>
      <c r="N556" s="2">
        <v>0</v>
      </c>
    </row>
    <row r="557" spans="1:14" x14ac:dyDescent="0.3">
      <c r="A557" t="s">
        <v>1439</v>
      </c>
      <c r="B557" s="1">
        <v>45062</v>
      </c>
      <c r="C557" t="s">
        <v>1212</v>
      </c>
      <c r="D557" t="s">
        <v>16</v>
      </c>
      <c r="E557" t="s">
        <v>17</v>
      </c>
      <c r="F557" t="s">
        <v>18</v>
      </c>
      <c r="G557" t="s">
        <v>19</v>
      </c>
      <c r="H557" t="s">
        <v>20</v>
      </c>
      <c r="I557" t="s">
        <v>29</v>
      </c>
      <c r="J557" t="s">
        <v>22</v>
      </c>
      <c r="K557" s="2">
        <v>28153.94</v>
      </c>
      <c r="L557" s="4">
        <v>2</v>
      </c>
      <c r="M557" s="3">
        <v>0.16</v>
      </c>
      <c r="N557" s="2">
        <v>563.08000000000004</v>
      </c>
    </row>
    <row r="558" spans="1:14" x14ac:dyDescent="0.3">
      <c r="A558" t="s">
        <v>1908</v>
      </c>
      <c r="B558" s="1">
        <v>45062</v>
      </c>
      <c r="C558" t="s">
        <v>1835</v>
      </c>
      <c r="D558" t="s">
        <v>61</v>
      </c>
      <c r="E558" t="s">
        <v>51</v>
      </c>
      <c r="F558" t="s">
        <v>34</v>
      </c>
      <c r="G558" t="s">
        <v>35</v>
      </c>
      <c r="H558" t="s">
        <v>36</v>
      </c>
      <c r="I558" t="s">
        <v>29</v>
      </c>
      <c r="J558" t="s">
        <v>30</v>
      </c>
      <c r="K558" s="2">
        <v>24517.78</v>
      </c>
      <c r="L558" s="4">
        <v>9</v>
      </c>
      <c r="M558" s="3">
        <v>0.24</v>
      </c>
      <c r="N558" s="2">
        <v>-490.36</v>
      </c>
    </row>
    <row r="559" spans="1:14" x14ac:dyDescent="0.3">
      <c r="A559" t="s">
        <v>2055</v>
      </c>
      <c r="B559" s="1">
        <v>45062</v>
      </c>
      <c r="C559" t="s">
        <v>1748</v>
      </c>
      <c r="D559" t="s">
        <v>61</v>
      </c>
      <c r="E559" t="s">
        <v>26</v>
      </c>
      <c r="F559" t="s">
        <v>27</v>
      </c>
      <c r="G559" t="s">
        <v>28</v>
      </c>
      <c r="H559" t="s">
        <v>20</v>
      </c>
      <c r="I559" t="s">
        <v>43</v>
      </c>
      <c r="J559" t="s">
        <v>37</v>
      </c>
      <c r="K559" s="2">
        <v>42881.97</v>
      </c>
      <c r="L559" s="4">
        <v>5</v>
      </c>
      <c r="M559" s="3">
        <v>0.11</v>
      </c>
      <c r="N559" s="2">
        <v>1929.69</v>
      </c>
    </row>
    <row r="560" spans="1:14" x14ac:dyDescent="0.3">
      <c r="A560" t="s">
        <v>2135</v>
      </c>
      <c r="B560" s="1">
        <v>45062</v>
      </c>
      <c r="C560" t="s">
        <v>2136</v>
      </c>
      <c r="D560" t="s">
        <v>61</v>
      </c>
      <c r="E560" t="s">
        <v>51</v>
      </c>
      <c r="F560" t="s">
        <v>79</v>
      </c>
      <c r="G560" t="s">
        <v>80</v>
      </c>
      <c r="H560" t="s">
        <v>47</v>
      </c>
      <c r="I560" t="s">
        <v>29</v>
      </c>
      <c r="J560" t="s">
        <v>64</v>
      </c>
      <c r="K560" s="2">
        <v>9748.3700000000008</v>
      </c>
      <c r="L560" s="4">
        <v>9</v>
      </c>
      <c r="M560" s="3">
        <v>0.28000000000000003</v>
      </c>
      <c r="N560" s="2">
        <v>-389.93</v>
      </c>
    </row>
    <row r="561" spans="1:14" x14ac:dyDescent="0.3">
      <c r="A561" t="s">
        <v>44</v>
      </c>
      <c r="B561" s="1">
        <v>45062</v>
      </c>
      <c r="C561" t="s">
        <v>45</v>
      </c>
      <c r="D561" t="s">
        <v>16</v>
      </c>
      <c r="E561" t="s">
        <v>17</v>
      </c>
      <c r="F561" t="s">
        <v>46</v>
      </c>
      <c r="G561" t="s">
        <v>46</v>
      </c>
      <c r="H561" t="s">
        <v>47</v>
      </c>
      <c r="I561" t="s">
        <v>21</v>
      </c>
      <c r="J561" t="s">
        <v>37</v>
      </c>
      <c r="K561" s="2">
        <v>6071.4</v>
      </c>
      <c r="L561" s="4">
        <v>10</v>
      </c>
      <c r="M561" s="3">
        <v>0.22</v>
      </c>
      <c r="N561" s="2">
        <v>-60.71</v>
      </c>
    </row>
    <row r="562" spans="1:14" x14ac:dyDescent="0.3">
      <c r="A562" t="s">
        <v>1840</v>
      </c>
      <c r="B562" s="1">
        <v>45062</v>
      </c>
      <c r="C562" t="s">
        <v>540</v>
      </c>
      <c r="D562" t="s">
        <v>33</v>
      </c>
      <c r="E562" t="s">
        <v>26</v>
      </c>
      <c r="F562" t="s">
        <v>18</v>
      </c>
      <c r="G562" t="s">
        <v>19</v>
      </c>
      <c r="H562" t="s">
        <v>20</v>
      </c>
      <c r="I562" t="s">
        <v>21</v>
      </c>
      <c r="J562" t="s">
        <v>106</v>
      </c>
      <c r="K562" s="2">
        <v>26084.82</v>
      </c>
      <c r="L562" s="4">
        <v>9</v>
      </c>
      <c r="M562" s="3">
        <v>0.25</v>
      </c>
      <c r="N562" s="2">
        <v>-652.12</v>
      </c>
    </row>
    <row r="563" spans="1:14" x14ac:dyDescent="0.3">
      <c r="A563" t="s">
        <v>2224</v>
      </c>
      <c r="B563" s="1">
        <v>45062</v>
      </c>
      <c r="C563" t="s">
        <v>2225</v>
      </c>
      <c r="D563" t="s">
        <v>61</v>
      </c>
      <c r="E563" t="s">
        <v>51</v>
      </c>
      <c r="F563" t="s">
        <v>40</v>
      </c>
      <c r="G563" t="s">
        <v>41</v>
      </c>
      <c r="H563" t="s">
        <v>42</v>
      </c>
      <c r="I563" t="s">
        <v>21</v>
      </c>
      <c r="J563" t="s">
        <v>64</v>
      </c>
      <c r="K563" s="2">
        <v>21441.93</v>
      </c>
      <c r="L563" s="4">
        <v>3</v>
      </c>
      <c r="M563" s="3">
        <v>0.27</v>
      </c>
      <c r="N563" s="2">
        <v>-750.47</v>
      </c>
    </row>
    <row r="564" spans="1:14" x14ac:dyDescent="0.3">
      <c r="A564" t="s">
        <v>173</v>
      </c>
      <c r="B564" s="1">
        <v>45063</v>
      </c>
      <c r="C564" t="s">
        <v>174</v>
      </c>
      <c r="D564" t="s">
        <v>50</v>
      </c>
      <c r="E564" t="s">
        <v>17</v>
      </c>
      <c r="F564" t="s">
        <v>27</v>
      </c>
      <c r="G564" t="s">
        <v>28</v>
      </c>
      <c r="H564" t="s">
        <v>20</v>
      </c>
      <c r="I564" t="s">
        <v>21</v>
      </c>
      <c r="J564" t="s">
        <v>58</v>
      </c>
      <c r="K564" s="2">
        <v>34195.089999999997</v>
      </c>
      <c r="L564" s="4">
        <v>4</v>
      </c>
      <c r="M564" s="3">
        <v>0.16</v>
      </c>
      <c r="N564" s="2">
        <v>683.9</v>
      </c>
    </row>
    <row r="565" spans="1:14" x14ac:dyDescent="0.3">
      <c r="A565" t="s">
        <v>737</v>
      </c>
      <c r="B565" s="1">
        <v>45063</v>
      </c>
      <c r="C565" t="s">
        <v>284</v>
      </c>
      <c r="D565" t="s">
        <v>16</v>
      </c>
      <c r="E565" t="s">
        <v>17</v>
      </c>
      <c r="F565" t="s">
        <v>34</v>
      </c>
      <c r="G565" t="s">
        <v>35</v>
      </c>
      <c r="H565" t="s">
        <v>36</v>
      </c>
      <c r="I565" t="s">
        <v>21</v>
      </c>
      <c r="J565" t="s">
        <v>22</v>
      </c>
      <c r="K565" s="2">
        <v>34698.81</v>
      </c>
      <c r="L565" s="4">
        <v>7</v>
      </c>
      <c r="M565" s="3">
        <v>0.26</v>
      </c>
      <c r="N565" s="2">
        <v>-1040.96</v>
      </c>
    </row>
    <row r="566" spans="1:14" x14ac:dyDescent="0.3">
      <c r="A566" t="s">
        <v>884</v>
      </c>
      <c r="B566" s="1">
        <v>45063</v>
      </c>
      <c r="C566" t="s">
        <v>885</v>
      </c>
      <c r="D566" t="s">
        <v>33</v>
      </c>
      <c r="E566" t="s">
        <v>26</v>
      </c>
      <c r="F566" t="s">
        <v>46</v>
      </c>
      <c r="G566" t="s">
        <v>46</v>
      </c>
      <c r="H566" t="s">
        <v>47</v>
      </c>
      <c r="I566" t="s">
        <v>21</v>
      </c>
      <c r="J566" t="s">
        <v>22</v>
      </c>
      <c r="K566" s="2">
        <v>45348.86</v>
      </c>
      <c r="L566" s="4">
        <v>10</v>
      </c>
      <c r="M566" s="3">
        <v>0.16</v>
      </c>
      <c r="N566" s="2">
        <v>906.98</v>
      </c>
    </row>
    <row r="567" spans="1:14" x14ac:dyDescent="0.3">
      <c r="A567" t="s">
        <v>532</v>
      </c>
      <c r="B567" s="1">
        <v>45064</v>
      </c>
      <c r="C567" t="s">
        <v>533</v>
      </c>
      <c r="D567" t="s">
        <v>50</v>
      </c>
      <c r="E567" t="s">
        <v>51</v>
      </c>
      <c r="F567" t="s">
        <v>46</v>
      </c>
      <c r="G567" t="s">
        <v>46</v>
      </c>
      <c r="H567" t="s">
        <v>47</v>
      </c>
      <c r="I567" t="s">
        <v>21</v>
      </c>
      <c r="J567" t="s">
        <v>22</v>
      </c>
      <c r="K567" s="2">
        <v>40209.18</v>
      </c>
      <c r="L567" s="4">
        <v>5</v>
      </c>
      <c r="M567" s="3">
        <v>0.19</v>
      </c>
      <c r="N567" s="2">
        <v>201.05</v>
      </c>
    </row>
    <row r="568" spans="1:14" x14ac:dyDescent="0.3">
      <c r="A568" t="s">
        <v>1973</v>
      </c>
      <c r="B568" s="1">
        <v>45064</v>
      </c>
      <c r="C568" t="s">
        <v>718</v>
      </c>
      <c r="D568" t="s">
        <v>61</v>
      </c>
      <c r="E568" t="s">
        <v>26</v>
      </c>
      <c r="F568" t="s">
        <v>27</v>
      </c>
      <c r="G568" t="s">
        <v>28</v>
      </c>
      <c r="H568" t="s">
        <v>20</v>
      </c>
      <c r="I568" t="s">
        <v>21</v>
      </c>
      <c r="J568" t="s">
        <v>37</v>
      </c>
      <c r="K568" s="2">
        <v>44529.96</v>
      </c>
      <c r="L568" s="4">
        <v>6</v>
      </c>
      <c r="M568" s="3">
        <v>0.03</v>
      </c>
      <c r="N568" s="2">
        <v>3785.05</v>
      </c>
    </row>
    <row r="569" spans="1:14" x14ac:dyDescent="0.3">
      <c r="A569" t="s">
        <v>1995</v>
      </c>
      <c r="B569" s="1">
        <v>45064</v>
      </c>
      <c r="C569" t="s">
        <v>371</v>
      </c>
      <c r="D569" t="s">
        <v>16</v>
      </c>
      <c r="E569" t="s">
        <v>51</v>
      </c>
      <c r="F569" t="s">
        <v>34</v>
      </c>
      <c r="G569" t="s">
        <v>35</v>
      </c>
      <c r="H569" t="s">
        <v>36</v>
      </c>
      <c r="I569" t="s">
        <v>29</v>
      </c>
      <c r="J569" t="s">
        <v>106</v>
      </c>
      <c r="K569" s="2">
        <v>3446.06</v>
      </c>
      <c r="L569" s="4">
        <v>6</v>
      </c>
      <c r="M569" s="3">
        <v>0.17</v>
      </c>
      <c r="N569" s="2">
        <v>51.69</v>
      </c>
    </row>
    <row r="570" spans="1:14" x14ac:dyDescent="0.3">
      <c r="A570" t="s">
        <v>38</v>
      </c>
      <c r="B570" s="1">
        <v>45064</v>
      </c>
      <c r="C570" t="s">
        <v>39</v>
      </c>
      <c r="D570" t="s">
        <v>16</v>
      </c>
      <c r="E570" t="s">
        <v>26</v>
      </c>
      <c r="F570" t="s">
        <v>40</v>
      </c>
      <c r="G570" t="s">
        <v>41</v>
      </c>
      <c r="H570" t="s">
        <v>42</v>
      </c>
      <c r="I570" t="s">
        <v>43</v>
      </c>
      <c r="J570" t="s">
        <v>37</v>
      </c>
      <c r="K570" s="2">
        <v>45378.2</v>
      </c>
      <c r="L570" s="4">
        <v>5</v>
      </c>
      <c r="M570" s="3">
        <v>0.18</v>
      </c>
      <c r="N570" s="2">
        <v>453.78</v>
      </c>
    </row>
    <row r="571" spans="1:14" x14ac:dyDescent="0.3">
      <c r="A571" t="s">
        <v>1164</v>
      </c>
      <c r="B571" s="1">
        <v>45065</v>
      </c>
      <c r="C571" t="s">
        <v>1165</v>
      </c>
      <c r="D571" t="s">
        <v>57</v>
      </c>
      <c r="E571" t="s">
        <v>17</v>
      </c>
      <c r="F571" t="s">
        <v>46</v>
      </c>
      <c r="G571" t="s">
        <v>46</v>
      </c>
      <c r="H571" t="s">
        <v>47</v>
      </c>
      <c r="I571" t="s">
        <v>29</v>
      </c>
      <c r="J571" t="s">
        <v>37</v>
      </c>
      <c r="K571" s="2">
        <v>13179.44</v>
      </c>
      <c r="L571" s="4">
        <v>3</v>
      </c>
      <c r="M571" s="3">
        <v>0.01</v>
      </c>
      <c r="N571" s="2">
        <v>1252.05</v>
      </c>
    </row>
    <row r="572" spans="1:14" x14ac:dyDescent="0.3">
      <c r="A572" t="s">
        <v>1587</v>
      </c>
      <c r="B572" s="1">
        <v>45065</v>
      </c>
      <c r="C572" t="s">
        <v>641</v>
      </c>
      <c r="D572" t="s">
        <v>50</v>
      </c>
      <c r="E572" t="s">
        <v>17</v>
      </c>
      <c r="F572" t="s">
        <v>79</v>
      </c>
      <c r="G572" t="s">
        <v>80</v>
      </c>
      <c r="H572" t="s">
        <v>47</v>
      </c>
      <c r="I572" t="s">
        <v>29</v>
      </c>
      <c r="J572" t="s">
        <v>106</v>
      </c>
      <c r="K572" s="2">
        <v>32646.83</v>
      </c>
      <c r="L572" s="4">
        <v>8</v>
      </c>
      <c r="M572" s="3">
        <v>0.28999999999999998</v>
      </c>
      <c r="N572" s="2">
        <v>-1469.11</v>
      </c>
    </row>
    <row r="573" spans="1:14" x14ac:dyDescent="0.3">
      <c r="A573" t="s">
        <v>133</v>
      </c>
      <c r="B573" s="1">
        <v>45066</v>
      </c>
      <c r="C573" t="s">
        <v>134</v>
      </c>
      <c r="D573" t="s">
        <v>16</v>
      </c>
      <c r="E573" t="s">
        <v>51</v>
      </c>
      <c r="F573" t="s">
        <v>79</v>
      </c>
      <c r="G573" t="s">
        <v>80</v>
      </c>
      <c r="H573" t="s">
        <v>47</v>
      </c>
      <c r="I573" t="s">
        <v>43</v>
      </c>
      <c r="J573" t="s">
        <v>22</v>
      </c>
      <c r="K573" s="2">
        <v>21260.19</v>
      </c>
      <c r="L573" s="4">
        <v>4</v>
      </c>
      <c r="M573" s="3">
        <v>0.11</v>
      </c>
      <c r="N573" s="2">
        <v>956.71</v>
      </c>
    </row>
    <row r="574" spans="1:14" x14ac:dyDescent="0.3">
      <c r="A574" t="s">
        <v>411</v>
      </c>
      <c r="B574" s="1">
        <v>45066</v>
      </c>
      <c r="C574" t="s">
        <v>355</v>
      </c>
      <c r="D574" t="s">
        <v>50</v>
      </c>
      <c r="E574" t="s">
        <v>17</v>
      </c>
      <c r="F574" t="s">
        <v>46</v>
      </c>
      <c r="G574" t="s">
        <v>46</v>
      </c>
      <c r="H574" t="s">
        <v>47</v>
      </c>
      <c r="I574" t="s">
        <v>43</v>
      </c>
      <c r="J574" t="s">
        <v>58</v>
      </c>
      <c r="K574" s="2">
        <v>35228.68</v>
      </c>
      <c r="L574" s="4">
        <v>10</v>
      </c>
      <c r="M574" s="3">
        <v>0.01</v>
      </c>
      <c r="N574" s="2">
        <v>3346.72</v>
      </c>
    </row>
    <row r="575" spans="1:14" x14ac:dyDescent="0.3">
      <c r="A575" t="s">
        <v>1891</v>
      </c>
      <c r="B575" s="1">
        <v>45066</v>
      </c>
      <c r="C575" t="s">
        <v>286</v>
      </c>
      <c r="D575" t="s">
        <v>33</v>
      </c>
      <c r="E575" t="s">
        <v>17</v>
      </c>
      <c r="F575" t="s">
        <v>46</v>
      </c>
      <c r="G575" t="s">
        <v>46</v>
      </c>
      <c r="H575" t="s">
        <v>47</v>
      </c>
      <c r="I575" t="s">
        <v>43</v>
      </c>
      <c r="J575" t="s">
        <v>58</v>
      </c>
      <c r="K575" s="2">
        <v>31991.86</v>
      </c>
      <c r="L575" s="4">
        <v>3</v>
      </c>
      <c r="M575" s="3">
        <v>0.11</v>
      </c>
      <c r="N575" s="2">
        <v>1439.63</v>
      </c>
    </row>
    <row r="576" spans="1:14" x14ac:dyDescent="0.3">
      <c r="A576" t="s">
        <v>1342</v>
      </c>
      <c r="B576" s="1">
        <v>45066</v>
      </c>
      <c r="C576" t="s">
        <v>1343</v>
      </c>
      <c r="D576" t="s">
        <v>85</v>
      </c>
      <c r="E576" t="s">
        <v>26</v>
      </c>
      <c r="F576" t="s">
        <v>79</v>
      </c>
      <c r="G576" t="s">
        <v>80</v>
      </c>
      <c r="H576" t="s">
        <v>47</v>
      </c>
      <c r="I576" t="s">
        <v>43</v>
      </c>
      <c r="J576" t="s">
        <v>30</v>
      </c>
      <c r="K576" s="2">
        <v>7799.43</v>
      </c>
      <c r="L576" s="4">
        <v>1</v>
      </c>
      <c r="M576" s="3">
        <v>0.02</v>
      </c>
      <c r="N576" s="2">
        <v>701.95</v>
      </c>
    </row>
    <row r="577" spans="1:14" x14ac:dyDescent="0.3">
      <c r="A577" t="s">
        <v>1904</v>
      </c>
      <c r="B577" s="1">
        <v>45066</v>
      </c>
      <c r="C577" t="s">
        <v>206</v>
      </c>
      <c r="D577" t="s">
        <v>85</v>
      </c>
      <c r="E577" t="s">
        <v>17</v>
      </c>
      <c r="F577" t="s">
        <v>40</v>
      </c>
      <c r="G577" t="s">
        <v>41</v>
      </c>
      <c r="H577" t="s">
        <v>42</v>
      </c>
      <c r="I577" t="s">
        <v>21</v>
      </c>
      <c r="J577" t="s">
        <v>30</v>
      </c>
      <c r="K577" s="2">
        <v>28277.19</v>
      </c>
      <c r="L577" s="4">
        <v>4</v>
      </c>
      <c r="M577" s="3">
        <v>0.04</v>
      </c>
      <c r="N577" s="2">
        <v>2262.1799999999998</v>
      </c>
    </row>
    <row r="578" spans="1:14" x14ac:dyDescent="0.3">
      <c r="A578" t="s">
        <v>1482</v>
      </c>
      <c r="B578" s="1">
        <v>45067</v>
      </c>
      <c r="C578" t="s">
        <v>423</v>
      </c>
      <c r="D578" t="s">
        <v>61</v>
      </c>
      <c r="E578" t="s">
        <v>51</v>
      </c>
      <c r="F578" t="s">
        <v>79</v>
      </c>
      <c r="G578" t="s">
        <v>80</v>
      </c>
      <c r="H578" t="s">
        <v>47</v>
      </c>
      <c r="I578" t="s">
        <v>21</v>
      </c>
      <c r="J578" t="s">
        <v>37</v>
      </c>
      <c r="K578" s="2">
        <v>39513.339999999997</v>
      </c>
      <c r="L578" s="4">
        <v>10</v>
      </c>
      <c r="M578" s="3">
        <v>0.18</v>
      </c>
      <c r="N578" s="2">
        <v>395.13</v>
      </c>
    </row>
    <row r="579" spans="1:14" x14ac:dyDescent="0.3">
      <c r="A579" t="s">
        <v>1621</v>
      </c>
      <c r="B579" s="1">
        <v>45067</v>
      </c>
      <c r="C579" t="s">
        <v>1195</v>
      </c>
      <c r="D579" t="s">
        <v>61</v>
      </c>
      <c r="E579" t="s">
        <v>17</v>
      </c>
      <c r="F579" t="s">
        <v>34</v>
      </c>
      <c r="G579" t="s">
        <v>35</v>
      </c>
      <c r="H579" t="s">
        <v>36</v>
      </c>
      <c r="I579" t="s">
        <v>29</v>
      </c>
      <c r="J579" t="s">
        <v>30</v>
      </c>
      <c r="K579" s="2">
        <v>1513.76</v>
      </c>
      <c r="L579" s="4">
        <v>6</v>
      </c>
      <c r="M579" s="3">
        <v>0.01</v>
      </c>
      <c r="N579" s="2">
        <v>143.81</v>
      </c>
    </row>
    <row r="580" spans="1:14" x14ac:dyDescent="0.3">
      <c r="A580" t="s">
        <v>1766</v>
      </c>
      <c r="B580" s="1">
        <v>45067</v>
      </c>
      <c r="C580" t="s">
        <v>1486</v>
      </c>
      <c r="D580" t="s">
        <v>33</v>
      </c>
      <c r="E580" t="s">
        <v>17</v>
      </c>
      <c r="F580" t="s">
        <v>27</v>
      </c>
      <c r="G580" t="s">
        <v>28</v>
      </c>
      <c r="H580" t="s">
        <v>20</v>
      </c>
      <c r="I580" t="s">
        <v>21</v>
      </c>
      <c r="J580" t="s">
        <v>54</v>
      </c>
      <c r="K580" s="2">
        <v>2659.03</v>
      </c>
      <c r="L580" s="4">
        <v>6</v>
      </c>
      <c r="M580" s="3">
        <v>0.04</v>
      </c>
      <c r="N580" s="2">
        <v>212.72</v>
      </c>
    </row>
    <row r="581" spans="1:14" x14ac:dyDescent="0.3">
      <c r="A581" t="s">
        <v>2110</v>
      </c>
      <c r="B581" s="1">
        <v>45067</v>
      </c>
      <c r="C581" t="s">
        <v>782</v>
      </c>
      <c r="D581" t="s">
        <v>50</v>
      </c>
      <c r="E581" t="s">
        <v>51</v>
      </c>
      <c r="F581" t="s">
        <v>18</v>
      </c>
      <c r="G581" t="s">
        <v>19</v>
      </c>
      <c r="H581" t="s">
        <v>20</v>
      </c>
      <c r="I581" t="s">
        <v>21</v>
      </c>
      <c r="J581" t="s">
        <v>30</v>
      </c>
      <c r="K581" s="2">
        <v>33535.040000000001</v>
      </c>
      <c r="L581" s="4">
        <v>6</v>
      </c>
      <c r="M581" s="3">
        <v>0.2</v>
      </c>
      <c r="N581" s="2">
        <v>0</v>
      </c>
    </row>
    <row r="582" spans="1:14" x14ac:dyDescent="0.3">
      <c r="A582" t="s">
        <v>856</v>
      </c>
      <c r="B582" s="1">
        <v>45067</v>
      </c>
      <c r="C582" t="s">
        <v>122</v>
      </c>
      <c r="D582" t="s">
        <v>50</v>
      </c>
      <c r="E582" t="s">
        <v>51</v>
      </c>
      <c r="F582" t="s">
        <v>46</v>
      </c>
      <c r="G582" t="s">
        <v>46</v>
      </c>
      <c r="H582" t="s">
        <v>47</v>
      </c>
      <c r="I582" t="s">
        <v>43</v>
      </c>
      <c r="J582" t="s">
        <v>64</v>
      </c>
      <c r="K582" s="2">
        <v>44574.71</v>
      </c>
      <c r="L582" s="4">
        <v>1</v>
      </c>
      <c r="M582" s="3">
        <v>0.28999999999999998</v>
      </c>
      <c r="N582" s="2">
        <v>-2005.86</v>
      </c>
    </row>
    <row r="583" spans="1:14" x14ac:dyDescent="0.3">
      <c r="A583" t="s">
        <v>102</v>
      </c>
      <c r="B583" s="1">
        <v>45068</v>
      </c>
      <c r="C583" t="s">
        <v>103</v>
      </c>
      <c r="D583" t="s">
        <v>25</v>
      </c>
      <c r="E583" t="s">
        <v>51</v>
      </c>
      <c r="F583" t="s">
        <v>40</v>
      </c>
      <c r="G583" t="s">
        <v>41</v>
      </c>
      <c r="H583" t="s">
        <v>42</v>
      </c>
      <c r="I583" t="s">
        <v>21</v>
      </c>
      <c r="J583" t="s">
        <v>58</v>
      </c>
      <c r="K583" s="2">
        <v>14072.05</v>
      </c>
      <c r="L583" s="4">
        <v>7</v>
      </c>
      <c r="M583" s="3">
        <v>0.22</v>
      </c>
      <c r="N583" s="2">
        <v>-140.72</v>
      </c>
    </row>
    <row r="584" spans="1:14" x14ac:dyDescent="0.3">
      <c r="A584" t="s">
        <v>970</v>
      </c>
      <c r="B584" s="1">
        <v>45068</v>
      </c>
      <c r="C584" t="s">
        <v>971</v>
      </c>
      <c r="D584" t="s">
        <v>50</v>
      </c>
      <c r="E584" t="s">
        <v>51</v>
      </c>
      <c r="F584" t="s">
        <v>18</v>
      </c>
      <c r="G584" t="s">
        <v>19</v>
      </c>
      <c r="H584" t="s">
        <v>20</v>
      </c>
      <c r="I584" t="s">
        <v>21</v>
      </c>
      <c r="J584" t="s">
        <v>30</v>
      </c>
      <c r="K584" s="2">
        <v>12412.71</v>
      </c>
      <c r="L584" s="4">
        <v>5</v>
      </c>
      <c r="M584" s="3">
        <v>7.0000000000000007E-2</v>
      </c>
      <c r="N584" s="2">
        <v>806.83</v>
      </c>
    </row>
    <row r="585" spans="1:14" x14ac:dyDescent="0.3">
      <c r="A585" t="s">
        <v>1034</v>
      </c>
      <c r="B585" s="1">
        <v>45068</v>
      </c>
      <c r="C585" t="s">
        <v>912</v>
      </c>
      <c r="D585" t="s">
        <v>85</v>
      </c>
      <c r="E585" t="s">
        <v>51</v>
      </c>
      <c r="F585" t="s">
        <v>40</v>
      </c>
      <c r="G585" t="s">
        <v>41</v>
      </c>
      <c r="H585" t="s">
        <v>42</v>
      </c>
      <c r="I585" t="s">
        <v>21</v>
      </c>
      <c r="J585" t="s">
        <v>37</v>
      </c>
      <c r="K585" s="2">
        <v>36184.35</v>
      </c>
      <c r="L585" s="4">
        <v>4</v>
      </c>
      <c r="M585" s="3">
        <v>0.17</v>
      </c>
      <c r="N585" s="2">
        <v>542.77</v>
      </c>
    </row>
    <row r="586" spans="1:14" x14ac:dyDescent="0.3">
      <c r="A586" t="s">
        <v>1428</v>
      </c>
      <c r="B586" s="1">
        <v>45068</v>
      </c>
      <c r="C586" t="s">
        <v>237</v>
      </c>
      <c r="D586" t="s">
        <v>25</v>
      </c>
      <c r="E586" t="s">
        <v>51</v>
      </c>
      <c r="F586" t="s">
        <v>27</v>
      </c>
      <c r="G586" t="s">
        <v>28</v>
      </c>
      <c r="H586" t="s">
        <v>20</v>
      </c>
      <c r="I586" t="s">
        <v>43</v>
      </c>
      <c r="J586" t="s">
        <v>37</v>
      </c>
      <c r="K586" s="2">
        <v>4247.3</v>
      </c>
      <c r="L586" s="4">
        <v>8</v>
      </c>
      <c r="M586" s="3">
        <v>7.0000000000000007E-2</v>
      </c>
      <c r="N586" s="2">
        <v>276.07</v>
      </c>
    </row>
    <row r="587" spans="1:14" x14ac:dyDescent="0.3">
      <c r="A587" t="s">
        <v>1448</v>
      </c>
      <c r="B587" s="1">
        <v>45068</v>
      </c>
      <c r="C587" t="s">
        <v>280</v>
      </c>
      <c r="D587" t="s">
        <v>61</v>
      </c>
      <c r="E587" t="s">
        <v>51</v>
      </c>
      <c r="F587" t="s">
        <v>46</v>
      </c>
      <c r="G587" t="s">
        <v>46</v>
      </c>
      <c r="H587" t="s">
        <v>47</v>
      </c>
      <c r="I587" t="s">
        <v>43</v>
      </c>
      <c r="J587" t="s">
        <v>58</v>
      </c>
      <c r="K587" s="2">
        <v>10375.65</v>
      </c>
      <c r="L587" s="4">
        <v>1</v>
      </c>
      <c r="M587" s="3">
        <v>0.1</v>
      </c>
      <c r="N587" s="2">
        <v>518.78</v>
      </c>
    </row>
    <row r="588" spans="1:14" x14ac:dyDescent="0.3">
      <c r="A588" t="s">
        <v>1498</v>
      </c>
      <c r="B588" s="1">
        <v>45068</v>
      </c>
      <c r="C588" t="s">
        <v>510</v>
      </c>
      <c r="D588" t="s">
        <v>16</v>
      </c>
      <c r="E588" t="s">
        <v>26</v>
      </c>
      <c r="F588" t="s">
        <v>27</v>
      </c>
      <c r="G588" t="s">
        <v>28</v>
      </c>
      <c r="H588" t="s">
        <v>20</v>
      </c>
      <c r="I588" t="s">
        <v>21</v>
      </c>
      <c r="J588" t="s">
        <v>106</v>
      </c>
      <c r="K588" s="2">
        <v>35814.85</v>
      </c>
      <c r="L588" s="4">
        <v>5</v>
      </c>
      <c r="M588" s="3">
        <v>0.18</v>
      </c>
      <c r="N588" s="2">
        <v>358.15</v>
      </c>
    </row>
    <row r="589" spans="1:14" x14ac:dyDescent="0.3">
      <c r="A589" t="s">
        <v>1633</v>
      </c>
      <c r="B589" s="1">
        <v>45068</v>
      </c>
      <c r="C589" t="s">
        <v>507</v>
      </c>
      <c r="D589" t="s">
        <v>85</v>
      </c>
      <c r="E589" t="s">
        <v>51</v>
      </c>
      <c r="F589" t="s">
        <v>46</v>
      </c>
      <c r="G589" t="s">
        <v>46</v>
      </c>
      <c r="H589" t="s">
        <v>47</v>
      </c>
      <c r="I589" t="s">
        <v>21</v>
      </c>
      <c r="J589" t="s">
        <v>64</v>
      </c>
      <c r="K589" s="2">
        <v>45211.13</v>
      </c>
      <c r="L589" s="4">
        <v>4</v>
      </c>
      <c r="M589" s="3">
        <v>0.11</v>
      </c>
      <c r="N589" s="2">
        <v>2034.5</v>
      </c>
    </row>
    <row r="590" spans="1:14" x14ac:dyDescent="0.3">
      <c r="A590" t="s">
        <v>2256</v>
      </c>
      <c r="B590" s="1">
        <v>45068</v>
      </c>
      <c r="C590" t="s">
        <v>270</v>
      </c>
      <c r="D590" t="s">
        <v>61</v>
      </c>
      <c r="E590" t="s">
        <v>17</v>
      </c>
      <c r="F590" t="s">
        <v>27</v>
      </c>
      <c r="G590" t="s">
        <v>28</v>
      </c>
      <c r="H590" t="s">
        <v>20</v>
      </c>
      <c r="I590" t="s">
        <v>21</v>
      </c>
      <c r="J590" t="s">
        <v>58</v>
      </c>
      <c r="K590" s="2">
        <v>20381.57</v>
      </c>
      <c r="L590" s="4">
        <v>9</v>
      </c>
      <c r="M590" s="3">
        <v>0.28000000000000003</v>
      </c>
      <c r="N590" s="2">
        <v>-815.26</v>
      </c>
    </row>
    <row r="591" spans="1:14" x14ac:dyDescent="0.3">
      <c r="A591" t="s">
        <v>673</v>
      </c>
      <c r="B591" s="1">
        <v>45069</v>
      </c>
      <c r="C591" t="s">
        <v>206</v>
      </c>
      <c r="D591" t="s">
        <v>16</v>
      </c>
      <c r="E591" t="s">
        <v>51</v>
      </c>
      <c r="F591" t="s">
        <v>18</v>
      </c>
      <c r="G591" t="s">
        <v>19</v>
      </c>
      <c r="H591" t="s">
        <v>20</v>
      </c>
      <c r="I591" t="s">
        <v>21</v>
      </c>
      <c r="J591" t="s">
        <v>37</v>
      </c>
      <c r="K591" s="2">
        <v>36865.160000000003</v>
      </c>
      <c r="L591" s="4">
        <v>6</v>
      </c>
      <c r="M591" s="3">
        <v>0.13</v>
      </c>
      <c r="N591" s="2">
        <v>1290.28</v>
      </c>
    </row>
    <row r="592" spans="1:14" x14ac:dyDescent="0.3">
      <c r="A592" t="s">
        <v>1868</v>
      </c>
      <c r="B592" s="1">
        <v>45069</v>
      </c>
      <c r="C592" t="s">
        <v>1869</v>
      </c>
      <c r="D592" t="s">
        <v>16</v>
      </c>
      <c r="E592" t="s">
        <v>51</v>
      </c>
      <c r="F592" t="s">
        <v>40</v>
      </c>
      <c r="G592" t="s">
        <v>41</v>
      </c>
      <c r="H592" t="s">
        <v>42</v>
      </c>
      <c r="I592" t="s">
        <v>43</v>
      </c>
      <c r="J592" t="s">
        <v>58</v>
      </c>
      <c r="K592" s="2">
        <v>4439.0200000000004</v>
      </c>
      <c r="L592" s="4">
        <v>8</v>
      </c>
      <c r="M592" s="3">
        <v>0.01</v>
      </c>
      <c r="N592" s="2">
        <v>421.71</v>
      </c>
    </row>
    <row r="593" spans="1:14" x14ac:dyDescent="0.3">
      <c r="A593" t="s">
        <v>1882</v>
      </c>
      <c r="B593" s="1">
        <v>45069</v>
      </c>
      <c r="C593" t="s">
        <v>1423</v>
      </c>
      <c r="D593" t="s">
        <v>16</v>
      </c>
      <c r="E593" t="s">
        <v>17</v>
      </c>
      <c r="F593" t="s">
        <v>79</v>
      </c>
      <c r="G593" t="s">
        <v>80</v>
      </c>
      <c r="H593" t="s">
        <v>47</v>
      </c>
      <c r="I593" t="s">
        <v>21</v>
      </c>
      <c r="J593" t="s">
        <v>37</v>
      </c>
      <c r="K593" s="2">
        <v>12299.93</v>
      </c>
      <c r="L593" s="4">
        <v>3</v>
      </c>
      <c r="M593" s="3">
        <v>7.0000000000000007E-2</v>
      </c>
      <c r="N593" s="2">
        <v>799.5</v>
      </c>
    </row>
    <row r="594" spans="1:14" x14ac:dyDescent="0.3">
      <c r="A594" t="s">
        <v>2005</v>
      </c>
      <c r="B594" s="1">
        <v>45069</v>
      </c>
      <c r="C594" t="s">
        <v>503</v>
      </c>
      <c r="D594" t="s">
        <v>50</v>
      </c>
      <c r="E594" t="s">
        <v>51</v>
      </c>
      <c r="F594" t="s">
        <v>34</v>
      </c>
      <c r="G594" t="s">
        <v>35</v>
      </c>
      <c r="H594" t="s">
        <v>36</v>
      </c>
      <c r="I594" t="s">
        <v>43</v>
      </c>
      <c r="J594" t="s">
        <v>106</v>
      </c>
      <c r="K594" s="2">
        <v>33170.379999999997</v>
      </c>
      <c r="L594" s="4">
        <v>1</v>
      </c>
      <c r="M594" s="3">
        <v>0.28999999999999998</v>
      </c>
      <c r="N594" s="2">
        <v>-1492.67</v>
      </c>
    </row>
    <row r="595" spans="1:14" x14ac:dyDescent="0.3">
      <c r="A595" t="s">
        <v>1443</v>
      </c>
      <c r="B595" s="1">
        <v>45069</v>
      </c>
      <c r="C595" t="s">
        <v>186</v>
      </c>
      <c r="D595" t="s">
        <v>25</v>
      </c>
      <c r="E595" t="s">
        <v>17</v>
      </c>
      <c r="F595" t="s">
        <v>46</v>
      </c>
      <c r="G595" t="s">
        <v>46</v>
      </c>
      <c r="H595" t="s">
        <v>47</v>
      </c>
      <c r="I595" t="s">
        <v>29</v>
      </c>
      <c r="J595" t="s">
        <v>54</v>
      </c>
      <c r="K595" s="2">
        <v>39150.94</v>
      </c>
      <c r="L595" s="4">
        <v>6</v>
      </c>
      <c r="M595" s="3">
        <v>0.1</v>
      </c>
      <c r="N595" s="2">
        <v>1957.55</v>
      </c>
    </row>
    <row r="596" spans="1:14" x14ac:dyDescent="0.3">
      <c r="A596" t="s">
        <v>1940</v>
      </c>
      <c r="B596" s="1">
        <v>45069</v>
      </c>
      <c r="C596" t="s">
        <v>684</v>
      </c>
      <c r="D596" t="s">
        <v>57</v>
      </c>
      <c r="E596" t="s">
        <v>51</v>
      </c>
      <c r="F596" t="s">
        <v>18</v>
      </c>
      <c r="G596" t="s">
        <v>19</v>
      </c>
      <c r="H596" t="s">
        <v>20</v>
      </c>
      <c r="I596" t="s">
        <v>21</v>
      </c>
      <c r="J596" t="s">
        <v>58</v>
      </c>
      <c r="K596" s="2">
        <v>20893.38</v>
      </c>
      <c r="L596" s="4">
        <v>1</v>
      </c>
      <c r="M596" s="3">
        <v>0.17</v>
      </c>
      <c r="N596" s="2">
        <v>313.39999999999998</v>
      </c>
    </row>
    <row r="597" spans="1:14" x14ac:dyDescent="0.3">
      <c r="A597" t="s">
        <v>228</v>
      </c>
      <c r="B597" s="1">
        <v>45069</v>
      </c>
      <c r="C597" t="s">
        <v>229</v>
      </c>
      <c r="D597" t="s">
        <v>33</v>
      </c>
      <c r="E597" t="s">
        <v>26</v>
      </c>
      <c r="F597" t="s">
        <v>40</v>
      </c>
      <c r="G597" t="s">
        <v>41</v>
      </c>
      <c r="H597" t="s">
        <v>42</v>
      </c>
      <c r="I597" t="s">
        <v>43</v>
      </c>
      <c r="J597" t="s">
        <v>22</v>
      </c>
      <c r="K597" s="2">
        <v>11663.66</v>
      </c>
      <c r="L597" s="4">
        <v>10</v>
      </c>
      <c r="M597" s="3">
        <v>0.01</v>
      </c>
      <c r="N597" s="2">
        <v>1108.05</v>
      </c>
    </row>
    <row r="598" spans="1:14" x14ac:dyDescent="0.3">
      <c r="A598" t="s">
        <v>1464</v>
      </c>
      <c r="B598" s="1">
        <v>45070</v>
      </c>
      <c r="C598" t="s">
        <v>1465</v>
      </c>
      <c r="D598" t="s">
        <v>16</v>
      </c>
      <c r="E598" t="s">
        <v>17</v>
      </c>
      <c r="F598" t="s">
        <v>46</v>
      </c>
      <c r="G598" t="s">
        <v>46</v>
      </c>
      <c r="H598" t="s">
        <v>47</v>
      </c>
      <c r="I598" t="s">
        <v>43</v>
      </c>
      <c r="J598" t="s">
        <v>58</v>
      </c>
      <c r="K598" s="2">
        <v>28799.26</v>
      </c>
      <c r="L598" s="4">
        <v>2</v>
      </c>
      <c r="M598" s="3">
        <v>0.06</v>
      </c>
      <c r="N598" s="2">
        <v>2015.95</v>
      </c>
    </row>
    <row r="599" spans="1:14" x14ac:dyDescent="0.3">
      <c r="A599" t="s">
        <v>2160</v>
      </c>
      <c r="B599" s="1">
        <v>45070</v>
      </c>
      <c r="C599" t="s">
        <v>1311</v>
      </c>
      <c r="D599" t="s">
        <v>85</v>
      </c>
      <c r="E599" t="s">
        <v>26</v>
      </c>
      <c r="F599" t="s">
        <v>79</v>
      </c>
      <c r="G599" t="s">
        <v>80</v>
      </c>
      <c r="H599" t="s">
        <v>47</v>
      </c>
      <c r="I599" t="s">
        <v>29</v>
      </c>
      <c r="J599" t="s">
        <v>106</v>
      </c>
      <c r="K599" s="2">
        <v>3586.01</v>
      </c>
      <c r="L599" s="4">
        <v>10</v>
      </c>
      <c r="M599" s="3">
        <v>0.27</v>
      </c>
      <c r="N599" s="2">
        <v>-125.51</v>
      </c>
    </row>
    <row r="600" spans="1:14" x14ac:dyDescent="0.3">
      <c r="A600" t="s">
        <v>391</v>
      </c>
      <c r="B600" s="1">
        <v>45071</v>
      </c>
      <c r="C600" t="s">
        <v>313</v>
      </c>
      <c r="D600" t="s">
        <v>50</v>
      </c>
      <c r="E600" t="s">
        <v>26</v>
      </c>
      <c r="F600" t="s">
        <v>27</v>
      </c>
      <c r="G600" t="s">
        <v>28</v>
      </c>
      <c r="H600" t="s">
        <v>20</v>
      </c>
      <c r="I600" t="s">
        <v>43</v>
      </c>
      <c r="J600" t="s">
        <v>64</v>
      </c>
      <c r="K600" s="2">
        <v>43036.65</v>
      </c>
      <c r="L600" s="4">
        <v>6</v>
      </c>
      <c r="M600" s="3">
        <v>0.04</v>
      </c>
      <c r="N600" s="2">
        <v>3442.93</v>
      </c>
    </row>
    <row r="601" spans="1:14" x14ac:dyDescent="0.3">
      <c r="A601" t="s">
        <v>1350</v>
      </c>
      <c r="B601" s="1">
        <v>45071</v>
      </c>
      <c r="C601" t="s">
        <v>1271</v>
      </c>
      <c r="D601" t="s">
        <v>57</v>
      </c>
      <c r="E601" t="s">
        <v>51</v>
      </c>
      <c r="F601" t="s">
        <v>34</v>
      </c>
      <c r="G601" t="s">
        <v>35</v>
      </c>
      <c r="H601" t="s">
        <v>36</v>
      </c>
      <c r="I601" t="s">
        <v>43</v>
      </c>
      <c r="J601" t="s">
        <v>58</v>
      </c>
      <c r="K601" s="2">
        <v>10767.3</v>
      </c>
      <c r="L601" s="4">
        <v>5</v>
      </c>
      <c r="M601" s="3">
        <v>0.13</v>
      </c>
      <c r="N601" s="2">
        <v>376.86</v>
      </c>
    </row>
    <row r="602" spans="1:14" x14ac:dyDescent="0.3">
      <c r="A602" t="s">
        <v>1415</v>
      </c>
      <c r="B602" s="1">
        <v>45071</v>
      </c>
      <c r="C602" t="s">
        <v>307</v>
      </c>
      <c r="D602" t="s">
        <v>16</v>
      </c>
      <c r="E602" t="s">
        <v>51</v>
      </c>
      <c r="F602" t="s">
        <v>46</v>
      </c>
      <c r="G602" t="s">
        <v>46</v>
      </c>
      <c r="H602" t="s">
        <v>47</v>
      </c>
      <c r="I602" t="s">
        <v>43</v>
      </c>
      <c r="J602" t="s">
        <v>58</v>
      </c>
      <c r="K602" s="2">
        <v>30563.599999999999</v>
      </c>
      <c r="L602" s="4">
        <v>5</v>
      </c>
      <c r="M602" s="3">
        <v>0.28000000000000003</v>
      </c>
      <c r="N602" s="2">
        <v>-1222.54</v>
      </c>
    </row>
    <row r="603" spans="1:14" x14ac:dyDescent="0.3">
      <c r="A603" t="s">
        <v>1082</v>
      </c>
      <c r="B603" s="1">
        <v>45072</v>
      </c>
      <c r="C603" t="s">
        <v>573</v>
      </c>
      <c r="D603" t="s">
        <v>61</v>
      </c>
      <c r="E603" t="s">
        <v>51</v>
      </c>
      <c r="F603" t="s">
        <v>79</v>
      </c>
      <c r="G603" t="s">
        <v>80</v>
      </c>
      <c r="H603" t="s">
        <v>47</v>
      </c>
      <c r="I603" t="s">
        <v>21</v>
      </c>
      <c r="J603" t="s">
        <v>30</v>
      </c>
      <c r="K603" s="2">
        <v>39826.269999999997</v>
      </c>
      <c r="L603" s="4">
        <v>9</v>
      </c>
      <c r="M603" s="3">
        <v>0.13</v>
      </c>
      <c r="N603" s="2">
        <v>1393.92</v>
      </c>
    </row>
    <row r="604" spans="1:14" x14ac:dyDescent="0.3">
      <c r="A604" t="s">
        <v>1118</v>
      </c>
      <c r="B604" s="1">
        <v>45072</v>
      </c>
      <c r="C604" t="s">
        <v>1119</v>
      </c>
      <c r="D604" t="s">
        <v>16</v>
      </c>
      <c r="E604" t="s">
        <v>26</v>
      </c>
      <c r="F604" t="s">
        <v>18</v>
      </c>
      <c r="G604" t="s">
        <v>19</v>
      </c>
      <c r="H604" t="s">
        <v>20</v>
      </c>
      <c r="I604" t="s">
        <v>29</v>
      </c>
      <c r="J604" t="s">
        <v>22</v>
      </c>
      <c r="K604" s="2">
        <v>29942.57</v>
      </c>
      <c r="L604" s="4">
        <v>3</v>
      </c>
      <c r="M604" s="3">
        <v>0.1</v>
      </c>
      <c r="N604" s="2">
        <v>1497.13</v>
      </c>
    </row>
    <row r="605" spans="1:14" x14ac:dyDescent="0.3">
      <c r="A605" t="s">
        <v>1325</v>
      </c>
      <c r="B605" s="1">
        <v>45072</v>
      </c>
      <c r="C605" t="s">
        <v>1326</v>
      </c>
      <c r="D605" t="s">
        <v>61</v>
      </c>
      <c r="E605" t="s">
        <v>17</v>
      </c>
      <c r="F605" t="s">
        <v>27</v>
      </c>
      <c r="G605" t="s">
        <v>28</v>
      </c>
      <c r="H605" t="s">
        <v>20</v>
      </c>
      <c r="I605" t="s">
        <v>43</v>
      </c>
      <c r="J605" t="s">
        <v>22</v>
      </c>
      <c r="K605" s="2">
        <v>2374.88</v>
      </c>
      <c r="L605" s="4">
        <v>6</v>
      </c>
      <c r="M605" s="3">
        <v>0.06</v>
      </c>
      <c r="N605" s="2">
        <v>166.24</v>
      </c>
    </row>
    <row r="606" spans="1:14" x14ac:dyDescent="0.3">
      <c r="A606" t="s">
        <v>1576</v>
      </c>
      <c r="B606" s="1">
        <v>45072</v>
      </c>
      <c r="C606" t="s">
        <v>1577</v>
      </c>
      <c r="D606" t="s">
        <v>16</v>
      </c>
      <c r="E606" t="s">
        <v>17</v>
      </c>
      <c r="F606" t="s">
        <v>40</v>
      </c>
      <c r="G606" t="s">
        <v>41</v>
      </c>
      <c r="H606" t="s">
        <v>42</v>
      </c>
      <c r="I606" t="s">
        <v>43</v>
      </c>
      <c r="J606" t="s">
        <v>22</v>
      </c>
      <c r="K606" s="2">
        <v>34189.68</v>
      </c>
      <c r="L606" s="4">
        <v>6</v>
      </c>
      <c r="M606" s="3">
        <v>0.27</v>
      </c>
      <c r="N606" s="2">
        <v>-1196.6400000000001</v>
      </c>
    </row>
    <row r="607" spans="1:14" x14ac:dyDescent="0.3">
      <c r="A607" t="s">
        <v>2253</v>
      </c>
      <c r="B607" s="1">
        <v>45072</v>
      </c>
      <c r="C607" t="s">
        <v>1333</v>
      </c>
      <c r="D607" t="s">
        <v>85</v>
      </c>
      <c r="E607" t="s">
        <v>17</v>
      </c>
      <c r="F607" t="s">
        <v>34</v>
      </c>
      <c r="G607" t="s">
        <v>35</v>
      </c>
      <c r="H607" t="s">
        <v>36</v>
      </c>
      <c r="I607" t="s">
        <v>21</v>
      </c>
      <c r="J607" t="s">
        <v>30</v>
      </c>
      <c r="K607" s="2">
        <v>4542.12</v>
      </c>
      <c r="L607" s="4">
        <v>1</v>
      </c>
      <c r="M607" s="3">
        <v>0.21</v>
      </c>
      <c r="N607" s="2">
        <v>-22.71</v>
      </c>
    </row>
    <row r="608" spans="1:14" x14ac:dyDescent="0.3">
      <c r="A608" t="s">
        <v>1068</v>
      </c>
      <c r="B608" s="1">
        <v>45072</v>
      </c>
      <c r="C608" t="s">
        <v>1069</v>
      </c>
      <c r="D608" t="s">
        <v>57</v>
      </c>
      <c r="E608" t="s">
        <v>17</v>
      </c>
      <c r="F608" t="s">
        <v>46</v>
      </c>
      <c r="G608" t="s">
        <v>46</v>
      </c>
      <c r="H608" t="s">
        <v>47</v>
      </c>
      <c r="I608" t="s">
        <v>43</v>
      </c>
      <c r="J608" t="s">
        <v>37</v>
      </c>
      <c r="K608" s="2">
        <v>31748.49</v>
      </c>
      <c r="L608" s="4">
        <v>1</v>
      </c>
      <c r="M608" s="3">
        <v>0.03</v>
      </c>
      <c r="N608" s="2">
        <v>2698.62</v>
      </c>
    </row>
    <row r="609" spans="1:14" x14ac:dyDescent="0.3">
      <c r="A609" t="s">
        <v>1508</v>
      </c>
      <c r="B609" s="1">
        <v>45072</v>
      </c>
      <c r="C609" t="s">
        <v>997</v>
      </c>
      <c r="D609" t="s">
        <v>16</v>
      </c>
      <c r="E609" t="s">
        <v>17</v>
      </c>
      <c r="F609" t="s">
        <v>79</v>
      </c>
      <c r="G609" t="s">
        <v>80</v>
      </c>
      <c r="H609" t="s">
        <v>47</v>
      </c>
      <c r="I609" t="s">
        <v>21</v>
      </c>
      <c r="J609" t="s">
        <v>54</v>
      </c>
      <c r="K609" s="2">
        <v>20323.740000000002</v>
      </c>
      <c r="L609" s="4">
        <v>9</v>
      </c>
      <c r="M609" s="3">
        <v>0.28000000000000003</v>
      </c>
      <c r="N609" s="2">
        <v>-812.95</v>
      </c>
    </row>
    <row r="610" spans="1:14" x14ac:dyDescent="0.3">
      <c r="A610" t="s">
        <v>1359</v>
      </c>
      <c r="B610" s="1">
        <v>45073</v>
      </c>
      <c r="C610" t="s">
        <v>1360</v>
      </c>
      <c r="D610" t="s">
        <v>61</v>
      </c>
      <c r="E610" t="s">
        <v>51</v>
      </c>
      <c r="F610" t="s">
        <v>34</v>
      </c>
      <c r="G610" t="s">
        <v>35</v>
      </c>
      <c r="H610" t="s">
        <v>36</v>
      </c>
      <c r="I610" t="s">
        <v>29</v>
      </c>
      <c r="J610" t="s">
        <v>54</v>
      </c>
      <c r="K610" s="2">
        <v>12250.72</v>
      </c>
      <c r="L610" s="4">
        <v>7</v>
      </c>
      <c r="M610" s="3">
        <v>0.21</v>
      </c>
      <c r="N610" s="2">
        <v>-61.25</v>
      </c>
    </row>
    <row r="611" spans="1:14" x14ac:dyDescent="0.3">
      <c r="A611" t="s">
        <v>2070</v>
      </c>
      <c r="B611" s="1">
        <v>45073</v>
      </c>
      <c r="C611" t="s">
        <v>2071</v>
      </c>
      <c r="D611" t="s">
        <v>33</v>
      </c>
      <c r="E611" t="s">
        <v>51</v>
      </c>
      <c r="F611" t="s">
        <v>18</v>
      </c>
      <c r="G611" t="s">
        <v>19</v>
      </c>
      <c r="H611" t="s">
        <v>20</v>
      </c>
      <c r="I611" t="s">
        <v>21</v>
      </c>
      <c r="J611" t="s">
        <v>64</v>
      </c>
      <c r="K611" s="2">
        <v>46980.58</v>
      </c>
      <c r="L611" s="4">
        <v>1</v>
      </c>
      <c r="M611" s="3">
        <v>0.21</v>
      </c>
      <c r="N611" s="2">
        <v>-234.9</v>
      </c>
    </row>
    <row r="612" spans="1:14" x14ac:dyDescent="0.3">
      <c r="A612" t="s">
        <v>149</v>
      </c>
      <c r="B612" s="1">
        <v>45073</v>
      </c>
      <c r="C612" t="s">
        <v>150</v>
      </c>
      <c r="D612" t="s">
        <v>61</v>
      </c>
      <c r="E612" t="s">
        <v>17</v>
      </c>
      <c r="F612" t="s">
        <v>46</v>
      </c>
      <c r="G612" t="s">
        <v>46</v>
      </c>
      <c r="H612" t="s">
        <v>47</v>
      </c>
      <c r="I612" t="s">
        <v>43</v>
      </c>
      <c r="J612" t="s">
        <v>22</v>
      </c>
      <c r="K612" s="2">
        <v>19546.09</v>
      </c>
      <c r="L612" s="4">
        <v>7</v>
      </c>
      <c r="M612" s="3">
        <v>0.25</v>
      </c>
      <c r="N612" s="2">
        <v>-488.65</v>
      </c>
    </row>
    <row r="613" spans="1:14" x14ac:dyDescent="0.3">
      <c r="A613" t="s">
        <v>2245</v>
      </c>
      <c r="B613" s="1">
        <v>45074</v>
      </c>
      <c r="C613" t="s">
        <v>2079</v>
      </c>
      <c r="D613" t="s">
        <v>50</v>
      </c>
      <c r="E613" t="s">
        <v>17</v>
      </c>
      <c r="F613" t="s">
        <v>34</v>
      </c>
      <c r="G613" t="s">
        <v>35</v>
      </c>
      <c r="H613" t="s">
        <v>36</v>
      </c>
      <c r="I613" t="s">
        <v>29</v>
      </c>
      <c r="J613" t="s">
        <v>54</v>
      </c>
      <c r="K613" s="2">
        <v>46089.03</v>
      </c>
      <c r="L613" s="4">
        <v>7</v>
      </c>
      <c r="M613" s="3">
        <v>0.12</v>
      </c>
      <c r="N613" s="2">
        <v>1843.56</v>
      </c>
    </row>
    <row r="614" spans="1:14" x14ac:dyDescent="0.3">
      <c r="A614" t="s">
        <v>1193</v>
      </c>
      <c r="B614" s="1">
        <v>45075</v>
      </c>
      <c r="C614" t="s">
        <v>1075</v>
      </c>
      <c r="D614" t="s">
        <v>50</v>
      </c>
      <c r="E614" t="s">
        <v>17</v>
      </c>
      <c r="F614" t="s">
        <v>79</v>
      </c>
      <c r="G614" t="s">
        <v>80</v>
      </c>
      <c r="H614" t="s">
        <v>47</v>
      </c>
      <c r="I614" t="s">
        <v>21</v>
      </c>
      <c r="J614" t="s">
        <v>30</v>
      </c>
      <c r="K614" s="2">
        <v>29489.94</v>
      </c>
      <c r="L614" s="4">
        <v>1</v>
      </c>
      <c r="M614" s="3">
        <v>0.1</v>
      </c>
      <c r="N614" s="2">
        <v>1474.5</v>
      </c>
    </row>
    <row r="615" spans="1:14" x14ac:dyDescent="0.3">
      <c r="A615" t="s">
        <v>1230</v>
      </c>
      <c r="B615" s="1">
        <v>45075</v>
      </c>
      <c r="C615" t="s">
        <v>408</v>
      </c>
      <c r="D615" t="s">
        <v>85</v>
      </c>
      <c r="E615" t="s">
        <v>51</v>
      </c>
      <c r="F615" t="s">
        <v>46</v>
      </c>
      <c r="G615" t="s">
        <v>46</v>
      </c>
      <c r="H615" t="s">
        <v>47</v>
      </c>
      <c r="I615" t="s">
        <v>21</v>
      </c>
      <c r="J615" t="s">
        <v>106</v>
      </c>
      <c r="K615" s="2">
        <v>6382.06</v>
      </c>
      <c r="L615" s="4">
        <v>6</v>
      </c>
      <c r="M615" s="3">
        <v>0.28000000000000003</v>
      </c>
      <c r="N615" s="2">
        <v>-255.28</v>
      </c>
    </row>
    <row r="616" spans="1:14" x14ac:dyDescent="0.3">
      <c r="A616" t="s">
        <v>1519</v>
      </c>
      <c r="B616" s="1">
        <v>45075</v>
      </c>
      <c r="C616" t="s">
        <v>1520</v>
      </c>
      <c r="D616" t="s">
        <v>16</v>
      </c>
      <c r="E616" t="s">
        <v>51</v>
      </c>
      <c r="F616" t="s">
        <v>34</v>
      </c>
      <c r="G616" t="s">
        <v>35</v>
      </c>
      <c r="H616" t="s">
        <v>36</v>
      </c>
      <c r="I616" t="s">
        <v>29</v>
      </c>
      <c r="J616" t="s">
        <v>37</v>
      </c>
      <c r="K616" s="2">
        <v>9312.89</v>
      </c>
      <c r="L616" s="4">
        <v>2</v>
      </c>
      <c r="M616" s="3">
        <v>0.01</v>
      </c>
      <c r="N616" s="2">
        <v>884.72</v>
      </c>
    </row>
    <row r="617" spans="1:14" x14ac:dyDescent="0.3">
      <c r="A617" t="s">
        <v>2240</v>
      </c>
      <c r="B617" s="1">
        <v>45075</v>
      </c>
      <c r="C617" t="s">
        <v>166</v>
      </c>
      <c r="D617" t="s">
        <v>85</v>
      </c>
      <c r="E617" t="s">
        <v>26</v>
      </c>
      <c r="F617" t="s">
        <v>27</v>
      </c>
      <c r="G617" t="s">
        <v>28</v>
      </c>
      <c r="H617" t="s">
        <v>20</v>
      </c>
      <c r="I617" t="s">
        <v>43</v>
      </c>
      <c r="J617" t="s">
        <v>106</v>
      </c>
      <c r="K617" s="2">
        <v>1615.29</v>
      </c>
      <c r="L617" s="4">
        <v>5</v>
      </c>
      <c r="M617" s="3">
        <v>0.18</v>
      </c>
      <c r="N617" s="2">
        <v>16.149999999999999</v>
      </c>
    </row>
    <row r="618" spans="1:14" x14ac:dyDescent="0.3">
      <c r="A618" t="s">
        <v>2267</v>
      </c>
      <c r="B618" s="1">
        <v>45075</v>
      </c>
      <c r="C618" t="s">
        <v>166</v>
      </c>
      <c r="D618" t="s">
        <v>50</v>
      </c>
      <c r="E618" t="s">
        <v>51</v>
      </c>
      <c r="F618" t="s">
        <v>34</v>
      </c>
      <c r="G618" t="s">
        <v>35</v>
      </c>
      <c r="H618" t="s">
        <v>36</v>
      </c>
      <c r="I618" t="s">
        <v>21</v>
      </c>
      <c r="J618" t="s">
        <v>22</v>
      </c>
      <c r="K618" s="2">
        <v>46616.45</v>
      </c>
      <c r="L618" s="4">
        <v>5</v>
      </c>
      <c r="M618" s="3">
        <v>0.09</v>
      </c>
      <c r="N618" s="2">
        <v>2563.9</v>
      </c>
    </row>
    <row r="619" spans="1:14" x14ac:dyDescent="0.3">
      <c r="A619" t="s">
        <v>793</v>
      </c>
      <c r="B619" s="1">
        <v>45076</v>
      </c>
      <c r="C619" t="s">
        <v>794</v>
      </c>
      <c r="D619" t="s">
        <v>61</v>
      </c>
      <c r="E619" t="s">
        <v>17</v>
      </c>
      <c r="F619" t="s">
        <v>46</v>
      </c>
      <c r="G619" t="s">
        <v>46</v>
      </c>
      <c r="H619" t="s">
        <v>47</v>
      </c>
      <c r="I619" t="s">
        <v>21</v>
      </c>
      <c r="J619" t="s">
        <v>58</v>
      </c>
      <c r="K619" s="2">
        <v>45915.96</v>
      </c>
      <c r="L619" s="4">
        <v>8</v>
      </c>
      <c r="M619" s="3">
        <v>0.02</v>
      </c>
      <c r="N619" s="2">
        <v>4132.4399999999996</v>
      </c>
    </row>
    <row r="620" spans="1:14" x14ac:dyDescent="0.3">
      <c r="A620" t="s">
        <v>966</v>
      </c>
      <c r="B620" s="1">
        <v>45076</v>
      </c>
      <c r="C620" t="s">
        <v>967</v>
      </c>
      <c r="D620" t="s">
        <v>33</v>
      </c>
      <c r="E620" t="s">
        <v>51</v>
      </c>
      <c r="F620" t="s">
        <v>27</v>
      </c>
      <c r="G620" t="s">
        <v>28</v>
      </c>
      <c r="H620" t="s">
        <v>20</v>
      </c>
      <c r="I620" t="s">
        <v>29</v>
      </c>
      <c r="J620" t="s">
        <v>64</v>
      </c>
      <c r="K620" s="2">
        <v>39169.24</v>
      </c>
      <c r="L620" s="4">
        <v>10</v>
      </c>
      <c r="M620" s="3">
        <v>0.17</v>
      </c>
      <c r="N620" s="2">
        <v>587.54</v>
      </c>
    </row>
    <row r="621" spans="1:14" x14ac:dyDescent="0.3">
      <c r="A621" t="s">
        <v>1569</v>
      </c>
      <c r="B621" s="1">
        <v>45076</v>
      </c>
      <c r="C621" t="s">
        <v>1570</v>
      </c>
      <c r="D621" t="s">
        <v>57</v>
      </c>
      <c r="E621" t="s">
        <v>26</v>
      </c>
      <c r="F621" t="s">
        <v>46</v>
      </c>
      <c r="G621" t="s">
        <v>46</v>
      </c>
      <c r="H621" t="s">
        <v>47</v>
      </c>
      <c r="I621" t="s">
        <v>43</v>
      </c>
      <c r="J621" t="s">
        <v>64</v>
      </c>
      <c r="K621" s="2">
        <v>16698.43</v>
      </c>
      <c r="L621" s="4">
        <v>9</v>
      </c>
      <c r="M621" s="3">
        <v>0.25</v>
      </c>
      <c r="N621" s="2">
        <v>-417.46</v>
      </c>
    </row>
    <row r="622" spans="1:14" x14ac:dyDescent="0.3">
      <c r="A622" t="s">
        <v>1314</v>
      </c>
      <c r="B622" s="1">
        <v>45076</v>
      </c>
      <c r="C622" t="s">
        <v>223</v>
      </c>
      <c r="D622" t="s">
        <v>25</v>
      </c>
      <c r="E622" t="s">
        <v>51</v>
      </c>
      <c r="F622" t="s">
        <v>40</v>
      </c>
      <c r="G622" t="s">
        <v>41</v>
      </c>
      <c r="H622" t="s">
        <v>42</v>
      </c>
      <c r="I622" t="s">
        <v>21</v>
      </c>
      <c r="J622" t="s">
        <v>37</v>
      </c>
      <c r="K622" s="2">
        <v>35435.81</v>
      </c>
      <c r="L622" s="4">
        <v>7</v>
      </c>
      <c r="M622" s="3">
        <v>0.17</v>
      </c>
      <c r="N622" s="2">
        <v>531.54</v>
      </c>
    </row>
    <row r="623" spans="1:14" x14ac:dyDescent="0.3">
      <c r="A623" t="s">
        <v>1968</v>
      </c>
      <c r="B623" s="1">
        <v>45076</v>
      </c>
      <c r="C623" t="s">
        <v>661</v>
      </c>
      <c r="D623" t="s">
        <v>50</v>
      </c>
      <c r="E623" t="s">
        <v>51</v>
      </c>
      <c r="F623" t="s">
        <v>18</v>
      </c>
      <c r="G623" t="s">
        <v>19</v>
      </c>
      <c r="H623" t="s">
        <v>20</v>
      </c>
      <c r="I623" t="s">
        <v>21</v>
      </c>
      <c r="J623" t="s">
        <v>22</v>
      </c>
      <c r="K623" s="2">
        <v>30023.29</v>
      </c>
      <c r="L623" s="4">
        <v>1</v>
      </c>
      <c r="M623" s="3">
        <v>0.21</v>
      </c>
      <c r="N623" s="2">
        <v>-150.12</v>
      </c>
    </row>
    <row r="624" spans="1:14" x14ac:dyDescent="0.3">
      <c r="A624" t="s">
        <v>434</v>
      </c>
      <c r="B624" s="1">
        <v>45077</v>
      </c>
      <c r="C624" t="s">
        <v>435</v>
      </c>
      <c r="D624" t="s">
        <v>57</v>
      </c>
      <c r="E624" t="s">
        <v>51</v>
      </c>
      <c r="F624" t="s">
        <v>79</v>
      </c>
      <c r="G624" t="s">
        <v>80</v>
      </c>
      <c r="H624" t="s">
        <v>47</v>
      </c>
      <c r="I624" t="s">
        <v>29</v>
      </c>
      <c r="J624" t="s">
        <v>64</v>
      </c>
      <c r="K624" s="2">
        <v>1483.14</v>
      </c>
      <c r="L624" s="4">
        <v>7</v>
      </c>
      <c r="M624" s="3">
        <v>0.1</v>
      </c>
      <c r="N624" s="2">
        <v>74.16</v>
      </c>
    </row>
    <row r="625" spans="1:14" x14ac:dyDescent="0.3">
      <c r="A625" t="s">
        <v>1993</v>
      </c>
      <c r="B625" s="1">
        <v>45077</v>
      </c>
      <c r="C625" t="s">
        <v>718</v>
      </c>
      <c r="D625" t="s">
        <v>50</v>
      </c>
      <c r="E625" t="s">
        <v>17</v>
      </c>
      <c r="F625" t="s">
        <v>40</v>
      </c>
      <c r="G625" t="s">
        <v>41</v>
      </c>
      <c r="H625" t="s">
        <v>42</v>
      </c>
      <c r="I625" t="s">
        <v>43</v>
      </c>
      <c r="J625" t="s">
        <v>106</v>
      </c>
      <c r="K625" s="2">
        <v>39070.879999999997</v>
      </c>
      <c r="L625" s="4">
        <v>5</v>
      </c>
      <c r="M625" s="3">
        <v>0.06</v>
      </c>
      <c r="N625" s="2">
        <v>2734.96</v>
      </c>
    </row>
    <row r="626" spans="1:14" x14ac:dyDescent="0.3">
      <c r="A626" t="s">
        <v>605</v>
      </c>
      <c r="B626" s="1">
        <v>45078</v>
      </c>
      <c r="C626" t="s">
        <v>606</v>
      </c>
      <c r="D626" t="s">
        <v>33</v>
      </c>
      <c r="E626" t="s">
        <v>51</v>
      </c>
      <c r="F626" t="s">
        <v>34</v>
      </c>
      <c r="G626" t="s">
        <v>35</v>
      </c>
      <c r="H626" t="s">
        <v>36</v>
      </c>
      <c r="I626" t="s">
        <v>21</v>
      </c>
      <c r="J626" t="s">
        <v>37</v>
      </c>
      <c r="K626" s="2">
        <v>29297.63</v>
      </c>
      <c r="L626" s="4">
        <v>1</v>
      </c>
      <c r="M626" s="3">
        <v>0.04</v>
      </c>
      <c r="N626" s="2">
        <v>2343.81</v>
      </c>
    </row>
    <row r="627" spans="1:14" x14ac:dyDescent="0.3">
      <c r="A627" t="s">
        <v>1499</v>
      </c>
      <c r="B627" s="1">
        <v>45078</v>
      </c>
      <c r="C627" t="s">
        <v>1447</v>
      </c>
      <c r="D627" t="s">
        <v>57</v>
      </c>
      <c r="E627" t="s">
        <v>51</v>
      </c>
      <c r="F627" t="s">
        <v>46</v>
      </c>
      <c r="G627" t="s">
        <v>46</v>
      </c>
      <c r="H627" t="s">
        <v>47</v>
      </c>
      <c r="I627" t="s">
        <v>29</v>
      </c>
      <c r="J627" t="s">
        <v>22</v>
      </c>
      <c r="K627" s="2">
        <v>29379.54</v>
      </c>
      <c r="L627" s="4">
        <v>9</v>
      </c>
      <c r="M627" s="3">
        <v>0.03</v>
      </c>
      <c r="N627" s="2">
        <v>2497.2600000000002</v>
      </c>
    </row>
    <row r="628" spans="1:14" x14ac:dyDescent="0.3">
      <c r="A628" t="s">
        <v>1799</v>
      </c>
      <c r="B628" s="1">
        <v>45079</v>
      </c>
      <c r="C628" t="s">
        <v>1679</v>
      </c>
      <c r="D628" t="s">
        <v>50</v>
      </c>
      <c r="E628" t="s">
        <v>26</v>
      </c>
      <c r="F628" t="s">
        <v>40</v>
      </c>
      <c r="G628" t="s">
        <v>41</v>
      </c>
      <c r="H628" t="s">
        <v>42</v>
      </c>
      <c r="I628" t="s">
        <v>43</v>
      </c>
      <c r="J628" t="s">
        <v>30</v>
      </c>
      <c r="K628" s="2">
        <v>41566.51</v>
      </c>
      <c r="L628" s="4">
        <v>4</v>
      </c>
      <c r="M628" s="3">
        <v>0.18</v>
      </c>
      <c r="N628" s="2">
        <v>415.67</v>
      </c>
    </row>
    <row r="629" spans="1:14" x14ac:dyDescent="0.3">
      <c r="A629" t="s">
        <v>2213</v>
      </c>
      <c r="B629" s="1">
        <v>45079</v>
      </c>
      <c r="C629" t="s">
        <v>739</v>
      </c>
      <c r="D629" t="s">
        <v>33</v>
      </c>
      <c r="E629" t="s">
        <v>26</v>
      </c>
      <c r="F629" t="s">
        <v>46</v>
      </c>
      <c r="G629" t="s">
        <v>46</v>
      </c>
      <c r="H629" t="s">
        <v>47</v>
      </c>
      <c r="I629" t="s">
        <v>21</v>
      </c>
      <c r="J629" t="s">
        <v>58</v>
      </c>
      <c r="K629" s="2">
        <v>38851.769999999997</v>
      </c>
      <c r="L629" s="4">
        <v>4</v>
      </c>
      <c r="M629" s="3">
        <v>0.18</v>
      </c>
      <c r="N629" s="2">
        <v>388.52</v>
      </c>
    </row>
    <row r="630" spans="1:14" x14ac:dyDescent="0.3">
      <c r="A630" t="s">
        <v>1256</v>
      </c>
      <c r="B630" s="1">
        <v>45079</v>
      </c>
      <c r="C630" t="s">
        <v>1257</v>
      </c>
      <c r="D630" t="s">
        <v>57</v>
      </c>
      <c r="E630" t="s">
        <v>17</v>
      </c>
      <c r="F630" t="s">
        <v>27</v>
      </c>
      <c r="G630" t="s">
        <v>28</v>
      </c>
      <c r="H630" t="s">
        <v>20</v>
      </c>
      <c r="I630" t="s">
        <v>21</v>
      </c>
      <c r="J630" t="s">
        <v>58</v>
      </c>
      <c r="K630" s="2">
        <v>4895.79</v>
      </c>
      <c r="L630" s="4">
        <v>8</v>
      </c>
      <c r="M630" s="3">
        <v>0.02</v>
      </c>
      <c r="N630" s="2">
        <v>440.62</v>
      </c>
    </row>
    <row r="631" spans="1:14" x14ac:dyDescent="0.3">
      <c r="A631" t="s">
        <v>90</v>
      </c>
      <c r="B631" s="1">
        <v>45080</v>
      </c>
      <c r="C631" t="s">
        <v>91</v>
      </c>
      <c r="D631" t="s">
        <v>85</v>
      </c>
      <c r="E631" t="s">
        <v>17</v>
      </c>
      <c r="F631" t="s">
        <v>18</v>
      </c>
      <c r="G631" t="s">
        <v>19</v>
      </c>
      <c r="H631" t="s">
        <v>20</v>
      </c>
      <c r="I631" t="s">
        <v>29</v>
      </c>
      <c r="J631" t="s">
        <v>58</v>
      </c>
      <c r="K631" s="2">
        <v>3211.11</v>
      </c>
      <c r="L631" s="4">
        <v>1</v>
      </c>
      <c r="M631" s="3">
        <v>0.21</v>
      </c>
      <c r="N631" s="2">
        <v>-16.059999999999999</v>
      </c>
    </row>
    <row r="632" spans="1:14" x14ac:dyDescent="0.3">
      <c r="A632" t="s">
        <v>98</v>
      </c>
      <c r="B632" s="1">
        <v>45080</v>
      </c>
      <c r="C632" t="s">
        <v>99</v>
      </c>
      <c r="D632" t="s">
        <v>61</v>
      </c>
      <c r="E632" t="s">
        <v>51</v>
      </c>
      <c r="F632" t="s">
        <v>34</v>
      </c>
      <c r="G632" t="s">
        <v>35</v>
      </c>
      <c r="H632" t="s">
        <v>36</v>
      </c>
      <c r="I632" t="s">
        <v>43</v>
      </c>
      <c r="J632" t="s">
        <v>37</v>
      </c>
      <c r="K632" s="2">
        <v>2701.43</v>
      </c>
      <c r="L632" s="4">
        <v>3</v>
      </c>
      <c r="M632" s="3">
        <v>0.25</v>
      </c>
      <c r="N632" s="2">
        <v>-67.540000000000006</v>
      </c>
    </row>
    <row r="633" spans="1:14" x14ac:dyDescent="0.3">
      <c r="A633" t="s">
        <v>467</v>
      </c>
      <c r="B633" s="1">
        <v>45080</v>
      </c>
      <c r="C633" t="s">
        <v>344</v>
      </c>
      <c r="D633" t="s">
        <v>16</v>
      </c>
      <c r="E633" t="s">
        <v>17</v>
      </c>
      <c r="F633" t="s">
        <v>18</v>
      </c>
      <c r="G633" t="s">
        <v>19</v>
      </c>
      <c r="H633" t="s">
        <v>20</v>
      </c>
      <c r="I633" t="s">
        <v>21</v>
      </c>
      <c r="J633" t="s">
        <v>54</v>
      </c>
      <c r="K633" s="2">
        <v>19164.57</v>
      </c>
      <c r="L633" s="4">
        <v>3</v>
      </c>
      <c r="M633" s="3">
        <v>0.22</v>
      </c>
      <c r="N633" s="2">
        <v>-191.65</v>
      </c>
    </row>
    <row r="634" spans="1:14" x14ac:dyDescent="0.3">
      <c r="A634" t="s">
        <v>1072</v>
      </c>
      <c r="B634" s="1">
        <v>45080</v>
      </c>
      <c r="C634" t="s">
        <v>741</v>
      </c>
      <c r="D634" t="s">
        <v>61</v>
      </c>
      <c r="E634" t="s">
        <v>17</v>
      </c>
      <c r="F634" t="s">
        <v>34</v>
      </c>
      <c r="G634" t="s">
        <v>35</v>
      </c>
      <c r="H634" t="s">
        <v>36</v>
      </c>
      <c r="I634" t="s">
        <v>43</v>
      </c>
      <c r="J634" t="s">
        <v>30</v>
      </c>
      <c r="K634" s="2">
        <v>49842.42</v>
      </c>
      <c r="L634" s="4">
        <v>10</v>
      </c>
      <c r="M634" s="3">
        <v>0.13</v>
      </c>
      <c r="N634" s="2">
        <v>1744.48</v>
      </c>
    </row>
    <row r="635" spans="1:14" x14ac:dyDescent="0.3">
      <c r="A635" t="s">
        <v>2273</v>
      </c>
      <c r="B635" s="1">
        <v>45080</v>
      </c>
      <c r="C635" t="s">
        <v>922</v>
      </c>
      <c r="D635" t="s">
        <v>85</v>
      </c>
      <c r="E635" t="s">
        <v>17</v>
      </c>
      <c r="F635" t="s">
        <v>18</v>
      </c>
      <c r="G635" t="s">
        <v>19</v>
      </c>
      <c r="H635" t="s">
        <v>20</v>
      </c>
      <c r="I635" t="s">
        <v>43</v>
      </c>
      <c r="J635" t="s">
        <v>106</v>
      </c>
      <c r="K635" s="2">
        <v>26031.8</v>
      </c>
      <c r="L635" s="4">
        <v>8</v>
      </c>
      <c r="M635" s="3">
        <v>0.13</v>
      </c>
      <c r="N635" s="2">
        <v>911.11</v>
      </c>
    </row>
    <row r="636" spans="1:14" x14ac:dyDescent="0.3">
      <c r="A636" t="s">
        <v>1897</v>
      </c>
      <c r="B636" s="1">
        <v>45080</v>
      </c>
      <c r="C636" t="s">
        <v>1089</v>
      </c>
      <c r="D636" t="s">
        <v>25</v>
      </c>
      <c r="E636" t="s">
        <v>17</v>
      </c>
      <c r="F636" t="s">
        <v>27</v>
      </c>
      <c r="G636" t="s">
        <v>28</v>
      </c>
      <c r="H636" t="s">
        <v>20</v>
      </c>
      <c r="I636" t="s">
        <v>21</v>
      </c>
      <c r="J636" t="s">
        <v>30</v>
      </c>
      <c r="K636" s="2">
        <v>26280.61</v>
      </c>
      <c r="L636" s="4">
        <v>10</v>
      </c>
      <c r="M636" s="3">
        <v>0.04</v>
      </c>
      <c r="N636" s="2">
        <v>2102.4499999999998</v>
      </c>
    </row>
    <row r="637" spans="1:14" x14ac:dyDescent="0.3">
      <c r="A637" t="s">
        <v>545</v>
      </c>
      <c r="B637" s="1">
        <v>45080</v>
      </c>
      <c r="C637" t="s">
        <v>546</v>
      </c>
      <c r="D637" t="s">
        <v>85</v>
      </c>
      <c r="E637" t="s">
        <v>51</v>
      </c>
      <c r="F637" t="s">
        <v>18</v>
      </c>
      <c r="G637" t="s">
        <v>19</v>
      </c>
      <c r="H637" t="s">
        <v>20</v>
      </c>
      <c r="I637" t="s">
        <v>21</v>
      </c>
      <c r="J637" t="s">
        <v>22</v>
      </c>
      <c r="K637" s="2">
        <v>49545.85</v>
      </c>
      <c r="L637" s="4">
        <v>4</v>
      </c>
      <c r="M637" s="3">
        <v>0.06</v>
      </c>
      <c r="N637" s="2">
        <v>3468.21</v>
      </c>
    </row>
    <row r="638" spans="1:14" x14ac:dyDescent="0.3">
      <c r="A638" t="s">
        <v>1949</v>
      </c>
      <c r="B638" s="1">
        <v>45080</v>
      </c>
      <c r="C638" t="s">
        <v>1079</v>
      </c>
      <c r="D638" t="s">
        <v>61</v>
      </c>
      <c r="E638" t="s">
        <v>51</v>
      </c>
      <c r="F638" t="s">
        <v>46</v>
      </c>
      <c r="G638" t="s">
        <v>46</v>
      </c>
      <c r="H638" t="s">
        <v>47</v>
      </c>
      <c r="I638" t="s">
        <v>21</v>
      </c>
      <c r="J638" t="s">
        <v>30</v>
      </c>
      <c r="K638" s="2">
        <v>3186.46</v>
      </c>
      <c r="L638" s="4">
        <v>7</v>
      </c>
      <c r="M638" s="3">
        <v>0.22</v>
      </c>
      <c r="N638" s="2">
        <v>-31.86</v>
      </c>
    </row>
    <row r="639" spans="1:14" x14ac:dyDescent="0.3">
      <c r="A639" t="s">
        <v>385</v>
      </c>
      <c r="B639" s="1">
        <v>45081</v>
      </c>
      <c r="C639" t="s">
        <v>386</v>
      </c>
      <c r="D639" t="s">
        <v>57</v>
      </c>
      <c r="E639" t="s">
        <v>26</v>
      </c>
      <c r="F639" t="s">
        <v>34</v>
      </c>
      <c r="G639" t="s">
        <v>35</v>
      </c>
      <c r="H639" t="s">
        <v>36</v>
      </c>
      <c r="I639" t="s">
        <v>43</v>
      </c>
      <c r="J639" t="s">
        <v>64</v>
      </c>
      <c r="K639" s="2">
        <v>1677.17</v>
      </c>
      <c r="L639" s="4">
        <v>9</v>
      </c>
      <c r="M639" s="3">
        <v>0.27</v>
      </c>
      <c r="N639" s="2">
        <v>-58.7</v>
      </c>
    </row>
    <row r="640" spans="1:14" x14ac:dyDescent="0.3">
      <c r="A640" t="s">
        <v>1299</v>
      </c>
      <c r="B640" s="1">
        <v>45081</v>
      </c>
      <c r="C640" t="s">
        <v>880</v>
      </c>
      <c r="D640" t="s">
        <v>33</v>
      </c>
      <c r="E640" t="s">
        <v>26</v>
      </c>
      <c r="F640" t="s">
        <v>40</v>
      </c>
      <c r="G640" t="s">
        <v>41</v>
      </c>
      <c r="H640" t="s">
        <v>42</v>
      </c>
      <c r="I640" t="s">
        <v>43</v>
      </c>
      <c r="J640" t="s">
        <v>58</v>
      </c>
      <c r="K640" s="2">
        <v>29775.9</v>
      </c>
      <c r="L640" s="4">
        <v>5</v>
      </c>
      <c r="M640" s="3">
        <v>0.11</v>
      </c>
      <c r="N640" s="2">
        <v>1339.92</v>
      </c>
    </row>
    <row r="641" spans="1:14" x14ac:dyDescent="0.3">
      <c r="A641" t="s">
        <v>1714</v>
      </c>
      <c r="B641" s="1">
        <v>45081</v>
      </c>
      <c r="C641" t="s">
        <v>378</v>
      </c>
      <c r="D641" t="s">
        <v>33</v>
      </c>
      <c r="E641" t="s">
        <v>51</v>
      </c>
      <c r="F641" t="s">
        <v>79</v>
      </c>
      <c r="G641" t="s">
        <v>80</v>
      </c>
      <c r="H641" t="s">
        <v>47</v>
      </c>
      <c r="I641" t="s">
        <v>21</v>
      </c>
      <c r="J641" t="s">
        <v>58</v>
      </c>
      <c r="K641" s="2">
        <v>1403.99</v>
      </c>
      <c r="L641" s="4">
        <v>6</v>
      </c>
      <c r="M641" s="3">
        <v>0.2</v>
      </c>
      <c r="N641" s="2">
        <v>0</v>
      </c>
    </row>
    <row r="642" spans="1:14" x14ac:dyDescent="0.3">
      <c r="A642" t="s">
        <v>1505</v>
      </c>
      <c r="B642" s="1">
        <v>45081</v>
      </c>
      <c r="C642" t="s">
        <v>344</v>
      </c>
      <c r="D642" t="s">
        <v>16</v>
      </c>
      <c r="E642" t="s">
        <v>51</v>
      </c>
      <c r="F642" t="s">
        <v>34</v>
      </c>
      <c r="G642" t="s">
        <v>35</v>
      </c>
      <c r="H642" t="s">
        <v>36</v>
      </c>
      <c r="I642" t="s">
        <v>43</v>
      </c>
      <c r="J642" t="s">
        <v>106</v>
      </c>
      <c r="K642" s="2">
        <v>39147.26</v>
      </c>
      <c r="L642" s="4">
        <v>3</v>
      </c>
      <c r="M642" s="3">
        <v>0.19</v>
      </c>
      <c r="N642" s="2">
        <v>195.74</v>
      </c>
    </row>
    <row r="643" spans="1:14" x14ac:dyDescent="0.3">
      <c r="A643" t="s">
        <v>1837</v>
      </c>
      <c r="B643" s="1">
        <v>45081</v>
      </c>
      <c r="C643" t="s">
        <v>1427</v>
      </c>
      <c r="D643" t="s">
        <v>50</v>
      </c>
      <c r="E643" t="s">
        <v>51</v>
      </c>
      <c r="F643" t="s">
        <v>34</v>
      </c>
      <c r="G643" t="s">
        <v>35</v>
      </c>
      <c r="H643" t="s">
        <v>36</v>
      </c>
      <c r="I643" t="s">
        <v>29</v>
      </c>
      <c r="J643" t="s">
        <v>30</v>
      </c>
      <c r="K643" s="2">
        <v>45218.45</v>
      </c>
      <c r="L643" s="4">
        <v>2</v>
      </c>
      <c r="M643" s="3">
        <v>0.04</v>
      </c>
      <c r="N643" s="2">
        <v>3617.48</v>
      </c>
    </row>
    <row r="644" spans="1:14" x14ac:dyDescent="0.3">
      <c r="A644" t="s">
        <v>1975</v>
      </c>
      <c r="B644" s="1">
        <v>45081</v>
      </c>
      <c r="C644" t="s">
        <v>1976</v>
      </c>
      <c r="D644" t="s">
        <v>61</v>
      </c>
      <c r="E644" t="s">
        <v>26</v>
      </c>
      <c r="F644" t="s">
        <v>79</v>
      </c>
      <c r="G644" t="s">
        <v>80</v>
      </c>
      <c r="H644" t="s">
        <v>47</v>
      </c>
      <c r="I644" t="s">
        <v>29</v>
      </c>
      <c r="J644" t="s">
        <v>22</v>
      </c>
      <c r="K644" s="2">
        <v>19791.05</v>
      </c>
      <c r="L644" s="4">
        <v>7</v>
      </c>
      <c r="M644" s="3">
        <v>0.22</v>
      </c>
      <c r="N644" s="2">
        <v>-197.91</v>
      </c>
    </row>
    <row r="645" spans="1:14" x14ac:dyDescent="0.3">
      <c r="A645" t="s">
        <v>974</v>
      </c>
      <c r="B645" s="1">
        <v>45081</v>
      </c>
      <c r="C645" t="s">
        <v>229</v>
      </c>
      <c r="D645" t="s">
        <v>33</v>
      </c>
      <c r="E645" t="s">
        <v>26</v>
      </c>
      <c r="F645" t="s">
        <v>79</v>
      </c>
      <c r="G645" t="s">
        <v>80</v>
      </c>
      <c r="H645" t="s">
        <v>47</v>
      </c>
      <c r="I645" t="s">
        <v>21</v>
      </c>
      <c r="J645" t="s">
        <v>54</v>
      </c>
      <c r="K645" s="2">
        <v>49411.66</v>
      </c>
      <c r="L645" s="4">
        <v>2</v>
      </c>
      <c r="M645" s="3">
        <v>0.11</v>
      </c>
      <c r="N645" s="2">
        <v>2223.52</v>
      </c>
    </row>
    <row r="646" spans="1:14" x14ac:dyDescent="0.3">
      <c r="A646" t="s">
        <v>947</v>
      </c>
      <c r="B646" s="1">
        <v>45082</v>
      </c>
      <c r="C646" t="s">
        <v>948</v>
      </c>
      <c r="D646" t="s">
        <v>25</v>
      </c>
      <c r="E646" t="s">
        <v>17</v>
      </c>
      <c r="F646" t="s">
        <v>40</v>
      </c>
      <c r="G646" t="s">
        <v>41</v>
      </c>
      <c r="H646" t="s">
        <v>42</v>
      </c>
      <c r="I646" t="s">
        <v>43</v>
      </c>
      <c r="J646" t="s">
        <v>30</v>
      </c>
      <c r="K646" s="2">
        <v>36575.46</v>
      </c>
      <c r="L646" s="4">
        <v>10</v>
      </c>
      <c r="M646" s="3">
        <v>0.25</v>
      </c>
      <c r="N646" s="2">
        <v>-914.39</v>
      </c>
    </row>
    <row r="647" spans="1:14" x14ac:dyDescent="0.3">
      <c r="A647" t="s">
        <v>1203</v>
      </c>
      <c r="B647" s="1">
        <v>45082</v>
      </c>
      <c r="C647" t="s">
        <v>93</v>
      </c>
      <c r="D647" t="s">
        <v>25</v>
      </c>
      <c r="E647" t="s">
        <v>26</v>
      </c>
      <c r="F647" t="s">
        <v>18</v>
      </c>
      <c r="G647" t="s">
        <v>19</v>
      </c>
      <c r="H647" t="s">
        <v>20</v>
      </c>
      <c r="I647" t="s">
        <v>21</v>
      </c>
      <c r="J647" t="s">
        <v>30</v>
      </c>
      <c r="K647" s="2">
        <v>13385.65</v>
      </c>
      <c r="L647" s="4">
        <v>8</v>
      </c>
      <c r="M647" s="3">
        <v>0.06</v>
      </c>
      <c r="N647" s="2">
        <v>937</v>
      </c>
    </row>
    <row r="648" spans="1:14" x14ac:dyDescent="0.3">
      <c r="A648" t="s">
        <v>1950</v>
      </c>
      <c r="B648" s="1">
        <v>45082</v>
      </c>
      <c r="C648" t="s">
        <v>1119</v>
      </c>
      <c r="D648" t="s">
        <v>50</v>
      </c>
      <c r="E648" t="s">
        <v>26</v>
      </c>
      <c r="F648" t="s">
        <v>34</v>
      </c>
      <c r="G648" t="s">
        <v>35</v>
      </c>
      <c r="H648" t="s">
        <v>36</v>
      </c>
      <c r="I648" t="s">
        <v>43</v>
      </c>
      <c r="J648" t="s">
        <v>30</v>
      </c>
      <c r="K648" s="2">
        <v>26516.86</v>
      </c>
      <c r="L648" s="4">
        <v>4</v>
      </c>
      <c r="M648" s="3">
        <v>0.25</v>
      </c>
      <c r="N648" s="2">
        <v>-662.92</v>
      </c>
    </row>
    <row r="649" spans="1:14" x14ac:dyDescent="0.3">
      <c r="A649" t="s">
        <v>304</v>
      </c>
      <c r="B649" s="1">
        <v>45082</v>
      </c>
      <c r="C649" t="s">
        <v>305</v>
      </c>
      <c r="D649" t="s">
        <v>33</v>
      </c>
      <c r="E649" t="s">
        <v>17</v>
      </c>
      <c r="F649" t="s">
        <v>40</v>
      </c>
      <c r="G649" t="s">
        <v>41</v>
      </c>
      <c r="H649" t="s">
        <v>42</v>
      </c>
      <c r="I649" t="s">
        <v>29</v>
      </c>
      <c r="J649" t="s">
        <v>106</v>
      </c>
      <c r="K649" s="2">
        <v>5000.88</v>
      </c>
      <c r="L649" s="4">
        <v>10</v>
      </c>
      <c r="M649" s="3">
        <v>0.06</v>
      </c>
      <c r="N649" s="2">
        <v>350.06</v>
      </c>
    </row>
    <row r="650" spans="1:14" x14ac:dyDescent="0.3">
      <c r="A650" t="s">
        <v>1592</v>
      </c>
      <c r="B650" s="1">
        <v>45082</v>
      </c>
      <c r="C650" t="s">
        <v>460</v>
      </c>
      <c r="D650" t="s">
        <v>25</v>
      </c>
      <c r="E650" t="s">
        <v>51</v>
      </c>
      <c r="F650" t="s">
        <v>27</v>
      </c>
      <c r="G650" t="s">
        <v>28</v>
      </c>
      <c r="H650" t="s">
        <v>20</v>
      </c>
      <c r="I650" t="s">
        <v>43</v>
      </c>
      <c r="J650" t="s">
        <v>37</v>
      </c>
      <c r="K650" s="2">
        <v>8415.67</v>
      </c>
      <c r="L650" s="4">
        <v>3</v>
      </c>
      <c r="M650" s="3">
        <v>0.13</v>
      </c>
      <c r="N650" s="2">
        <v>294.55</v>
      </c>
    </row>
    <row r="651" spans="1:14" x14ac:dyDescent="0.3">
      <c r="A651" t="s">
        <v>2050</v>
      </c>
      <c r="B651" s="1">
        <v>45082</v>
      </c>
      <c r="C651" t="s">
        <v>1210</v>
      </c>
      <c r="D651" t="s">
        <v>25</v>
      </c>
      <c r="E651" t="s">
        <v>26</v>
      </c>
      <c r="F651" t="s">
        <v>34</v>
      </c>
      <c r="G651" t="s">
        <v>35</v>
      </c>
      <c r="H651" t="s">
        <v>36</v>
      </c>
      <c r="I651" t="s">
        <v>21</v>
      </c>
      <c r="J651" t="s">
        <v>64</v>
      </c>
      <c r="K651" s="2">
        <v>47042.8</v>
      </c>
      <c r="L651" s="4">
        <v>7</v>
      </c>
      <c r="M651" s="3">
        <v>0.04</v>
      </c>
      <c r="N651" s="2">
        <v>3763.42</v>
      </c>
    </row>
    <row r="652" spans="1:14" x14ac:dyDescent="0.3">
      <c r="A652" t="s">
        <v>265</v>
      </c>
      <c r="B652" s="1">
        <v>45083</v>
      </c>
      <c r="C652" t="s">
        <v>266</v>
      </c>
      <c r="D652" t="s">
        <v>57</v>
      </c>
      <c r="E652" t="s">
        <v>51</v>
      </c>
      <c r="F652" t="s">
        <v>34</v>
      </c>
      <c r="G652" t="s">
        <v>35</v>
      </c>
      <c r="H652" t="s">
        <v>36</v>
      </c>
      <c r="I652" t="s">
        <v>43</v>
      </c>
      <c r="J652" t="s">
        <v>58</v>
      </c>
      <c r="K652" s="2">
        <v>4281.75</v>
      </c>
      <c r="L652" s="4">
        <v>8</v>
      </c>
      <c r="M652" s="3">
        <v>0.01</v>
      </c>
      <c r="N652" s="2">
        <v>406.77</v>
      </c>
    </row>
    <row r="653" spans="1:14" x14ac:dyDescent="0.3">
      <c r="A653" t="s">
        <v>1022</v>
      </c>
      <c r="B653" s="1">
        <v>45083</v>
      </c>
      <c r="C653" t="s">
        <v>1023</v>
      </c>
      <c r="D653" t="s">
        <v>25</v>
      </c>
      <c r="E653" t="s">
        <v>26</v>
      </c>
      <c r="F653" t="s">
        <v>79</v>
      </c>
      <c r="G653" t="s">
        <v>80</v>
      </c>
      <c r="H653" t="s">
        <v>47</v>
      </c>
      <c r="I653" t="s">
        <v>21</v>
      </c>
      <c r="J653" t="s">
        <v>106</v>
      </c>
      <c r="K653" s="2">
        <v>26398.799999999999</v>
      </c>
      <c r="L653" s="4">
        <v>6</v>
      </c>
      <c r="M653" s="3">
        <v>0.16</v>
      </c>
      <c r="N653" s="2">
        <v>527.98</v>
      </c>
    </row>
    <row r="654" spans="1:14" x14ac:dyDescent="0.3">
      <c r="A654" t="s">
        <v>1288</v>
      </c>
      <c r="B654" s="1">
        <v>45084</v>
      </c>
      <c r="C654" t="s">
        <v>471</v>
      </c>
      <c r="D654" t="s">
        <v>25</v>
      </c>
      <c r="E654" t="s">
        <v>51</v>
      </c>
      <c r="F654" t="s">
        <v>34</v>
      </c>
      <c r="G654" t="s">
        <v>35</v>
      </c>
      <c r="H654" t="s">
        <v>36</v>
      </c>
      <c r="I654" t="s">
        <v>43</v>
      </c>
      <c r="J654" t="s">
        <v>30</v>
      </c>
      <c r="K654" s="2">
        <v>8066.05</v>
      </c>
      <c r="L654" s="4">
        <v>8</v>
      </c>
      <c r="M654" s="3">
        <v>0.04</v>
      </c>
      <c r="N654" s="2">
        <v>645.28</v>
      </c>
    </row>
    <row r="655" spans="1:14" x14ac:dyDescent="0.3">
      <c r="A655" t="s">
        <v>1694</v>
      </c>
      <c r="B655" s="1">
        <v>45084</v>
      </c>
      <c r="C655" t="s">
        <v>1384</v>
      </c>
      <c r="D655" t="s">
        <v>85</v>
      </c>
      <c r="E655" t="s">
        <v>51</v>
      </c>
      <c r="F655" t="s">
        <v>46</v>
      </c>
      <c r="G655" t="s">
        <v>46</v>
      </c>
      <c r="H655" t="s">
        <v>47</v>
      </c>
      <c r="I655" t="s">
        <v>21</v>
      </c>
      <c r="J655" t="s">
        <v>58</v>
      </c>
      <c r="K655" s="2">
        <v>35721.06</v>
      </c>
      <c r="L655" s="4">
        <v>1</v>
      </c>
      <c r="M655" s="3">
        <v>0.09</v>
      </c>
      <c r="N655" s="2">
        <v>1964.66</v>
      </c>
    </row>
    <row r="656" spans="1:14" x14ac:dyDescent="0.3">
      <c r="A656" t="s">
        <v>592</v>
      </c>
      <c r="B656" s="1">
        <v>45085</v>
      </c>
      <c r="C656" t="s">
        <v>593</v>
      </c>
      <c r="D656" t="s">
        <v>16</v>
      </c>
      <c r="E656" t="s">
        <v>51</v>
      </c>
      <c r="F656" t="s">
        <v>34</v>
      </c>
      <c r="G656" t="s">
        <v>35</v>
      </c>
      <c r="H656" t="s">
        <v>36</v>
      </c>
      <c r="I656" t="s">
        <v>29</v>
      </c>
      <c r="J656" t="s">
        <v>64</v>
      </c>
      <c r="K656" s="2">
        <v>38102.9</v>
      </c>
      <c r="L656" s="4">
        <v>5</v>
      </c>
      <c r="M656" s="3">
        <v>0.12</v>
      </c>
      <c r="N656" s="2">
        <v>1524.12</v>
      </c>
    </row>
    <row r="657" spans="1:14" x14ac:dyDescent="0.3">
      <c r="A657" t="s">
        <v>1104</v>
      </c>
      <c r="B657" s="1">
        <v>45085</v>
      </c>
      <c r="C657" t="s">
        <v>158</v>
      </c>
      <c r="D657" t="s">
        <v>25</v>
      </c>
      <c r="E657" t="s">
        <v>26</v>
      </c>
      <c r="F657" t="s">
        <v>40</v>
      </c>
      <c r="G657" t="s">
        <v>41</v>
      </c>
      <c r="H657" t="s">
        <v>42</v>
      </c>
      <c r="I657" t="s">
        <v>43</v>
      </c>
      <c r="J657" t="s">
        <v>58</v>
      </c>
      <c r="K657" s="2">
        <v>48556.24</v>
      </c>
      <c r="L657" s="4">
        <v>3</v>
      </c>
      <c r="M657" s="3">
        <v>0.23</v>
      </c>
      <c r="N657" s="2">
        <v>-728.34</v>
      </c>
    </row>
    <row r="658" spans="1:14" x14ac:dyDescent="0.3">
      <c r="A658" t="s">
        <v>1362</v>
      </c>
      <c r="B658" s="1">
        <v>45085</v>
      </c>
      <c r="C658" t="s">
        <v>1363</v>
      </c>
      <c r="D658" t="s">
        <v>57</v>
      </c>
      <c r="E658" t="s">
        <v>17</v>
      </c>
      <c r="F658" t="s">
        <v>79</v>
      </c>
      <c r="G658" t="s">
        <v>80</v>
      </c>
      <c r="H658" t="s">
        <v>47</v>
      </c>
      <c r="I658" t="s">
        <v>29</v>
      </c>
      <c r="J658" t="s">
        <v>64</v>
      </c>
      <c r="K658" s="2">
        <v>18200.04</v>
      </c>
      <c r="L658" s="4">
        <v>4</v>
      </c>
      <c r="M658" s="3">
        <v>0.14000000000000001</v>
      </c>
      <c r="N658" s="2">
        <v>546</v>
      </c>
    </row>
    <row r="659" spans="1:14" x14ac:dyDescent="0.3">
      <c r="A659" t="s">
        <v>1646</v>
      </c>
      <c r="B659" s="1">
        <v>45085</v>
      </c>
      <c r="C659" t="s">
        <v>84</v>
      </c>
      <c r="D659" t="s">
        <v>25</v>
      </c>
      <c r="E659" t="s">
        <v>51</v>
      </c>
      <c r="F659" t="s">
        <v>46</v>
      </c>
      <c r="G659" t="s">
        <v>46</v>
      </c>
      <c r="H659" t="s">
        <v>47</v>
      </c>
      <c r="I659" t="s">
        <v>29</v>
      </c>
      <c r="J659" t="s">
        <v>64</v>
      </c>
      <c r="K659" s="2">
        <v>43240.82</v>
      </c>
      <c r="L659" s="4">
        <v>7</v>
      </c>
      <c r="M659" s="3">
        <v>0.18</v>
      </c>
      <c r="N659" s="2">
        <v>432.41</v>
      </c>
    </row>
    <row r="660" spans="1:14" x14ac:dyDescent="0.3">
      <c r="A660" t="s">
        <v>1156</v>
      </c>
      <c r="B660" s="1">
        <v>45085</v>
      </c>
      <c r="C660" t="s">
        <v>1157</v>
      </c>
      <c r="D660" t="s">
        <v>25</v>
      </c>
      <c r="E660" t="s">
        <v>26</v>
      </c>
      <c r="F660" t="s">
        <v>27</v>
      </c>
      <c r="G660" t="s">
        <v>28</v>
      </c>
      <c r="H660" t="s">
        <v>20</v>
      </c>
      <c r="I660" t="s">
        <v>29</v>
      </c>
      <c r="J660" t="s">
        <v>54</v>
      </c>
      <c r="K660" s="2">
        <v>7459.65</v>
      </c>
      <c r="L660" s="4">
        <v>8</v>
      </c>
      <c r="M660" s="3">
        <v>0.2</v>
      </c>
      <c r="N660" s="2">
        <v>0</v>
      </c>
    </row>
    <row r="661" spans="1:14" x14ac:dyDescent="0.3">
      <c r="A661" t="s">
        <v>1630</v>
      </c>
      <c r="B661" s="1">
        <v>45085</v>
      </c>
      <c r="C661" t="s">
        <v>1631</v>
      </c>
      <c r="D661" t="s">
        <v>25</v>
      </c>
      <c r="E661" t="s">
        <v>51</v>
      </c>
      <c r="F661" t="s">
        <v>18</v>
      </c>
      <c r="G661" t="s">
        <v>19</v>
      </c>
      <c r="H661" t="s">
        <v>20</v>
      </c>
      <c r="I661" t="s">
        <v>21</v>
      </c>
      <c r="J661" t="s">
        <v>22</v>
      </c>
      <c r="K661" s="2">
        <v>12071.12</v>
      </c>
      <c r="L661" s="4">
        <v>1</v>
      </c>
      <c r="M661" s="3">
        <v>0</v>
      </c>
      <c r="N661" s="2">
        <v>1207.1099999999999</v>
      </c>
    </row>
    <row r="662" spans="1:14" x14ac:dyDescent="0.3">
      <c r="A662" t="s">
        <v>787</v>
      </c>
      <c r="B662" s="1">
        <v>45086</v>
      </c>
      <c r="C662" t="s">
        <v>788</v>
      </c>
      <c r="D662" t="s">
        <v>61</v>
      </c>
      <c r="E662" t="s">
        <v>17</v>
      </c>
      <c r="F662" t="s">
        <v>18</v>
      </c>
      <c r="G662" t="s">
        <v>19</v>
      </c>
      <c r="H662" t="s">
        <v>20</v>
      </c>
      <c r="I662" t="s">
        <v>21</v>
      </c>
      <c r="J662" t="s">
        <v>64</v>
      </c>
      <c r="K662" s="2">
        <v>19539.32</v>
      </c>
      <c r="L662" s="4">
        <v>1</v>
      </c>
      <c r="M662" s="3">
        <v>0.06</v>
      </c>
      <c r="N662" s="2">
        <v>1367.75</v>
      </c>
    </row>
    <row r="663" spans="1:14" x14ac:dyDescent="0.3">
      <c r="A663" t="s">
        <v>1151</v>
      </c>
      <c r="B663" s="1">
        <v>45086</v>
      </c>
      <c r="C663" t="s">
        <v>1152</v>
      </c>
      <c r="D663" t="s">
        <v>16</v>
      </c>
      <c r="E663" t="s">
        <v>17</v>
      </c>
      <c r="F663" t="s">
        <v>40</v>
      </c>
      <c r="G663" t="s">
        <v>41</v>
      </c>
      <c r="H663" t="s">
        <v>42</v>
      </c>
      <c r="I663" t="s">
        <v>43</v>
      </c>
      <c r="J663" t="s">
        <v>64</v>
      </c>
      <c r="K663" s="2">
        <v>10644.95</v>
      </c>
      <c r="L663" s="4">
        <v>4</v>
      </c>
      <c r="M663" s="3">
        <v>0.24</v>
      </c>
      <c r="N663" s="2">
        <v>-212.9</v>
      </c>
    </row>
    <row r="664" spans="1:14" x14ac:dyDescent="0.3">
      <c r="A664" t="s">
        <v>1551</v>
      </c>
      <c r="B664" s="1">
        <v>45086</v>
      </c>
      <c r="C664" t="s">
        <v>212</v>
      </c>
      <c r="D664" t="s">
        <v>61</v>
      </c>
      <c r="E664" t="s">
        <v>17</v>
      </c>
      <c r="F664" t="s">
        <v>79</v>
      </c>
      <c r="G664" t="s">
        <v>80</v>
      </c>
      <c r="H664" t="s">
        <v>47</v>
      </c>
      <c r="I664" t="s">
        <v>29</v>
      </c>
      <c r="J664" t="s">
        <v>37</v>
      </c>
      <c r="K664" s="2">
        <v>28412.11</v>
      </c>
      <c r="L664" s="4">
        <v>3</v>
      </c>
      <c r="M664" s="3">
        <v>0.01</v>
      </c>
      <c r="N664" s="2">
        <v>2699.15</v>
      </c>
    </row>
    <row r="665" spans="1:14" x14ac:dyDescent="0.3">
      <c r="A665" t="s">
        <v>2141</v>
      </c>
      <c r="B665" s="1">
        <v>45086</v>
      </c>
      <c r="C665" t="s">
        <v>39</v>
      </c>
      <c r="D665" t="s">
        <v>33</v>
      </c>
      <c r="E665" t="s">
        <v>26</v>
      </c>
      <c r="F665" t="s">
        <v>46</v>
      </c>
      <c r="G665" t="s">
        <v>46</v>
      </c>
      <c r="H665" t="s">
        <v>47</v>
      </c>
      <c r="I665" t="s">
        <v>21</v>
      </c>
      <c r="J665" t="s">
        <v>64</v>
      </c>
      <c r="K665" s="2">
        <v>23556.37</v>
      </c>
      <c r="L665" s="4">
        <v>7</v>
      </c>
      <c r="M665" s="3">
        <v>0.05</v>
      </c>
      <c r="N665" s="2">
        <v>1766.73</v>
      </c>
    </row>
    <row r="666" spans="1:14" x14ac:dyDescent="0.3">
      <c r="A666" t="s">
        <v>1542</v>
      </c>
      <c r="B666" s="1">
        <v>45086</v>
      </c>
      <c r="C666" t="s">
        <v>1157</v>
      </c>
      <c r="D666" t="s">
        <v>25</v>
      </c>
      <c r="E666" t="s">
        <v>26</v>
      </c>
      <c r="F666" t="s">
        <v>79</v>
      </c>
      <c r="G666" t="s">
        <v>80</v>
      </c>
      <c r="H666" t="s">
        <v>47</v>
      </c>
      <c r="I666" t="s">
        <v>43</v>
      </c>
      <c r="J666" t="s">
        <v>54</v>
      </c>
      <c r="K666" s="2">
        <v>5264.69</v>
      </c>
      <c r="L666" s="4">
        <v>9</v>
      </c>
      <c r="M666" s="3">
        <v>0.23</v>
      </c>
      <c r="N666" s="2">
        <v>-78.97</v>
      </c>
    </row>
    <row r="667" spans="1:14" x14ac:dyDescent="0.3">
      <c r="A667" t="s">
        <v>740</v>
      </c>
      <c r="B667" s="1">
        <v>45086</v>
      </c>
      <c r="C667" t="s">
        <v>741</v>
      </c>
      <c r="D667" t="s">
        <v>57</v>
      </c>
      <c r="E667" t="s">
        <v>17</v>
      </c>
      <c r="F667" t="s">
        <v>79</v>
      </c>
      <c r="G667" t="s">
        <v>80</v>
      </c>
      <c r="H667" t="s">
        <v>47</v>
      </c>
      <c r="I667" t="s">
        <v>43</v>
      </c>
      <c r="J667" t="s">
        <v>30</v>
      </c>
      <c r="K667" s="2">
        <v>18849.45</v>
      </c>
      <c r="L667" s="4">
        <v>3</v>
      </c>
      <c r="M667" s="3">
        <v>0.2</v>
      </c>
      <c r="N667" s="2">
        <v>0</v>
      </c>
    </row>
    <row r="668" spans="1:14" x14ac:dyDescent="0.3">
      <c r="A668" t="s">
        <v>100</v>
      </c>
      <c r="B668" s="1">
        <v>45086</v>
      </c>
      <c r="C668" t="s">
        <v>101</v>
      </c>
      <c r="D668" t="s">
        <v>33</v>
      </c>
      <c r="E668" t="s">
        <v>26</v>
      </c>
      <c r="F668" t="s">
        <v>34</v>
      </c>
      <c r="G668" t="s">
        <v>35</v>
      </c>
      <c r="H668" t="s">
        <v>36</v>
      </c>
      <c r="I668" t="s">
        <v>29</v>
      </c>
      <c r="J668" t="s">
        <v>58</v>
      </c>
      <c r="K668" s="2">
        <v>14072.11</v>
      </c>
      <c r="L668" s="4">
        <v>2</v>
      </c>
      <c r="M668" s="3">
        <v>0.01</v>
      </c>
      <c r="N668" s="2">
        <v>1336.85</v>
      </c>
    </row>
    <row r="669" spans="1:14" x14ac:dyDescent="0.3">
      <c r="A669" t="s">
        <v>48</v>
      </c>
      <c r="B669" s="1">
        <v>45086</v>
      </c>
      <c r="C669" t="s">
        <v>49</v>
      </c>
      <c r="D669" t="s">
        <v>50</v>
      </c>
      <c r="E669" t="s">
        <v>51</v>
      </c>
      <c r="F669" t="s">
        <v>46</v>
      </c>
      <c r="G669" t="s">
        <v>46</v>
      </c>
      <c r="H669" t="s">
        <v>47</v>
      </c>
      <c r="I669" t="s">
        <v>43</v>
      </c>
      <c r="J669" t="s">
        <v>37</v>
      </c>
      <c r="K669" s="2">
        <v>44973.599999999999</v>
      </c>
      <c r="L669" s="4">
        <v>5</v>
      </c>
      <c r="M669" s="3">
        <v>0.11</v>
      </c>
      <c r="N669" s="2">
        <v>2023.81</v>
      </c>
    </row>
    <row r="670" spans="1:14" x14ac:dyDescent="0.3">
      <c r="A670" t="s">
        <v>209</v>
      </c>
      <c r="B670" s="1">
        <v>45087</v>
      </c>
      <c r="C670" t="s">
        <v>210</v>
      </c>
      <c r="D670" t="s">
        <v>61</v>
      </c>
      <c r="E670" t="s">
        <v>17</v>
      </c>
      <c r="F670" t="s">
        <v>40</v>
      </c>
      <c r="G670" t="s">
        <v>41</v>
      </c>
      <c r="H670" t="s">
        <v>42</v>
      </c>
      <c r="I670" t="s">
        <v>43</v>
      </c>
      <c r="J670" t="s">
        <v>30</v>
      </c>
      <c r="K670" s="2">
        <v>17687.939999999999</v>
      </c>
      <c r="L670" s="4">
        <v>6</v>
      </c>
      <c r="M670" s="3">
        <v>0.01</v>
      </c>
      <c r="N670" s="2">
        <v>1680.35</v>
      </c>
    </row>
    <row r="671" spans="1:14" x14ac:dyDescent="0.3">
      <c r="A671" t="s">
        <v>1223</v>
      </c>
      <c r="B671" s="1">
        <v>45087</v>
      </c>
      <c r="C671" t="s">
        <v>1224</v>
      </c>
      <c r="D671" t="s">
        <v>25</v>
      </c>
      <c r="E671" t="s">
        <v>17</v>
      </c>
      <c r="F671" t="s">
        <v>27</v>
      </c>
      <c r="G671" t="s">
        <v>28</v>
      </c>
      <c r="H671" t="s">
        <v>20</v>
      </c>
      <c r="I671" t="s">
        <v>21</v>
      </c>
      <c r="J671" t="s">
        <v>30</v>
      </c>
      <c r="K671" s="2">
        <v>26619.87</v>
      </c>
      <c r="L671" s="4">
        <v>1</v>
      </c>
      <c r="M671" s="3">
        <v>0.18</v>
      </c>
      <c r="N671" s="2">
        <v>266.2</v>
      </c>
    </row>
    <row r="672" spans="1:14" x14ac:dyDescent="0.3">
      <c r="A672" t="s">
        <v>1752</v>
      </c>
      <c r="B672" s="1">
        <v>45087</v>
      </c>
      <c r="C672" t="s">
        <v>329</v>
      </c>
      <c r="D672" t="s">
        <v>16</v>
      </c>
      <c r="E672" t="s">
        <v>51</v>
      </c>
      <c r="F672" t="s">
        <v>46</v>
      </c>
      <c r="G672" t="s">
        <v>46</v>
      </c>
      <c r="H672" t="s">
        <v>47</v>
      </c>
      <c r="I672" t="s">
        <v>43</v>
      </c>
      <c r="J672" t="s">
        <v>37</v>
      </c>
      <c r="K672" s="2">
        <v>28550.82</v>
      </c>
      <c r="L672" s="4">
        <v>9</v>
      </c>
      <c r="M672" s="3">
        <v>0.09</v>
      </c>
      <c r="N672" s="2">
        <v>1570.3</v>
      </c>
    </row>
    <row r="673" spans="1:14" x14ac:dyDescent="0.3">
      <c r="A673" t="s">
        <v>2221</v>
      </c>
      <c r="B673" s="1">
        <v>45087</v>
      </c>
      <c r="C673" t="s">
        <v>95</v>
      </c>
      <c r="D673" t="s">
        <v>61</v>
      </c>
      <c r="E673" t="s">
        <v>26</v>
      </c>
      <c r="F673" t="s">
        <v>18</v>
      </c>
      <c r="G673" t="s">
        <v>19</v>
      </c>
      <c r="H673" t="s">
        <v>20</v>
      </c>
      <c r="I673" t="s">
        <v>43</v>
      </c>
      <c r="J673" t="s">
        <v>30</v>
      </c>
      <c r="K673" s="2">
        <v>10388.93</v>
      </c>
      <c r="L673" s="4">
        <v>6</v>
      </c>
      <c r="M673" s="3">
        <v>0.09</v>
      </c>
      <c r="N673" s="2">
        <v>571.39</v>
      </c>
    </row>
    <row r="674" spans="1:14" x14ac:dyDescent="0.3">
      <c r="A674" t="s">
        <v>863</v>
      </c>
      <c r="B674" s="1">
        <v>45088</v>
      </c>
      <c r="C674" t="s">
        <v>864</v>
      </c>
      <c r="D674" t="s">
        <v>33</v>
      </c>
      <c r="E674" t="s">
        <v>17</v>
      </c>
      <c r="F674" t="s">
        <v>46</v>
      </c>
      <c r="G674" t="s">
        <v>46</v>
      </c>
      <c r="H674" t="s">
        <v>47</v>
      </c>
      <c r="I674" t="s">
        <v>43</v>
      </c>
      <c r="J674" t="s">
        <v>54</v>
      </c>
      <c r="K674" s="2">
        <v>35854.660000000003</v>
      </c>
      <c r="L674" s="4">
        <v>3</v>
      </c>
      <c r="M674" s="3">
        <v>0.03</v>
      </c>
      <c r="N674" s="2">
        <v>3047.65</v>
      </c>
    </row>
    <row r="675" spans="1:14" x14ac:dyDescent="0.3">
      <c r="A675" t="s">
        <v>1802</v>
      </c>
      <c r="B675" s="1">
        <v>45088</v>
      </c>
      <c r="C675" t="s">
        <v>1152</v>
      </c>
      <c r="D675" t="s">
        <v>50</v>
      </c>
      <c r="E675" t="s">
        <v>51</v>
      </c>
      <c r="F675" t="s">
        <v>34</v>
      </c>
      <c r="G675" t="s">
        <v>35</v>
      </c>
      <c r="H675" t="s">
        <v>36</v>
      </c>
      <c r="I675" t="s">
        <v>29</v>
      </c>
      <c r="J675" t="s">
        <v>106</v>
      </c>
      <c r="K675" s="2">
        <v>21266.080000000002</v>
      </c>
      <c r="L675" s="4">
        <v>4</v>
      </c>
      <c r="M675" s="3">
        <v>0.23</v>
      </c>
      <c r="N675" s="2">
        <v>-318.99</v>
      </c>
    </row>
    <row r="676" spans="1:14" x14ac:dyDescent="0.3">
      <c r="A676" t="s">
        <v>2080</v>
      </c>
      <c r="B676" s="1">
        <v>45088</v>
      </c>
      <c r="C676" t="s">
        <v>1348</v>
      </c>
      <c r="D676" t="s">
        <v>85</v>
      </c>
      <c r="E676" t="s">
        <v>51</v>
      </c>
      <c r="F676" t="s">
        <v>34</v>
      </c>
      <c r="G676" t="s">
        <v>35</v>
      </c>
      <c r="H676" t="s">
        <v>36</v>
      </c>
      <c r="I676" t="s">
        <v>29</v>
      </c>
      <c r="J676" t="s">
        <v>106</v>
      </c>
      <c r="K676" s="2">
        <v>38048.83</v>
      </c>
      <c r="L676" s="4">
        <v>10</v>
      </c>
      <c r="M676" s="3">
        <v>0.18</v>
      </c>
      <c r="N676" s="2">
        <v>380.49</v>
      </c>
    </row>
    <row r="677" spans="1:14" x14ac:dyDescent="0.3">
      <c r="A677" t="s">
        <v>2206</v>
      </c>
      <c r="B677" s="1">
        <v>45088</v>
      </c>
      <c r="C677" t="s">
        <v>2207</v>
      </c>
      <c r="D677" t="s">
        <v>33</v>
      </c>
      <c r="E677" t="s">
        <v>17</v>
      </c>
      <c r="F677" t="s">
        <v>18</v>
      </c>
      <c r="G677" t="s">
        <v>19</v>
      </c>
      <c r="H677" t="s">
        <v>20</v>
      </c>
      <c r="I677" t="s">
        <v>29</v>
      </c>
      <c r="J677" t="s">
        <v>37</v>
      </c>
      <c r="K677" s="2">
        <v>13105.07</v>
      </c>
      <c r="L677" s="4">
        <v>8</v>
      </c>
      <c r="M677" s="3">
        <v>0.25</v>
      </c>
      <c r="N677" s="2">
        <v>-327.63</v>
      </c>
    </row>
    <row r="678" spans="1:14" x14ac:dyDescent="0.3">
      <c r="A678" t="s">
        <v>1887</v>
      </c>
      <c r="B678" s="1">
        <v>45088</v>
      </c>
      <c r="C678" t="s">
        <v>1888</v>
      </c>
      <c r="D678" t="s">
        <v>16</v>
      </c>
      <c r="E678" t="s">
        <v>17</v>
      </c>
      <c r="F678" t="s">
        <v>27</v>
      </c>
      <c r="G678" t="s">
        <v>28</v>
      </c>
      <c r="H678" t="s">
        <v>20</v>
      </c>
      <c r="I678" t="s">
        <v>21</v>
      </c>
      <c r="J678" t="s">
        <v>30</v>
      </c>
      <c r="K678" s="2">
        <v>29010.94</v>
      </c>
      <c r="L678" s="4">
        <v>6</v>
      </c>
      <c r="M678" s="3">
        <v>0.13</v>
      </c>
      <c r="N678" s="2">
        <v>1015.38</v>
      </c>
    </row>
    <row r="679" spans="1:14" x14ac:dyDescent="0.3">
      <c r="A679" t="s">
        <v>1009</v>
      </c>
      <c r="B679" s="1">
        <v>45089</v>
      </c>
      <c r="C679" t="s">
        <v>893</v>
      </c>
      <c r="D679" t="s">
        <v>85</v>
      </c>
      <c r="E679" t="s">
        <v>51</v>
      </c>
      <c r="F679" t="s">
        <v>18</v>
      </c>
      <c r="G679" t="s">
        <v>19</v>
      </c>
      <c r="H679" t="s">
        <v>20</v>
      </c>
      <c r="I679" t="s">
        <v>43</v>
      </c>
      <c r="J679" t="s">
        <v>37</v>
      </c>
      <c r="K679" s="2">
        <v>1713.59</v>
      </c>
      <c r="L679" s="4">
        <v>7</v>
      </c>
      <c r="M679" s="3">
        <v>0.16</v>
      </c>
      <c r="N679" s="2">
        <v>34.270000000000003</v>
      </c>
    </row>
    <row r="680" spans="1:14" x14ac:dyDescent="0.3">
      <c r="A680" t="s">
        <v>1538</v>
      </c>
      <c r="B680" s="1">
        <v>45089</v>
      </c>
      <c r="C680" t="s">
        <v>1539</v>
      </c>
      <c r="D680" t="s">
        <v>50</v>
      </c>
      <c r="E680" t="s">
        <v>26</v>
      </c>
      <c r="F680" t="s">
        <v>46</v>
      </c>
      <c r="G680" t="s">
        <v>46</v>
      </c>
      <c r="H680" t="s">
        <v>47</v>
      </c>
      <c r="I680" t="s">
        <v>21</v>
      </c>
      <c r="J680" t="s">
        <v>37</v>
      </c>
      <c r="K680" s="2">
        <v>39118.160000000003</v>
      </c>
      <c r="L680" s="4">
        <v>4</v>
      </c>
      <c r="M680" s="3">
        <v>7.0000000000000007E-2</v>
      </c>
      <c r="N680" s="2">
        <v>2542.6799999999998</v>
      </c>
    </row>
    <row r="681" spans="1:14" x14ac:dyDescent="0.3">
      <c r="A681" t="s">
        <v>2117</v>
      </c>
      <c r="B681" s="1">
        <v>45089</v>
      </c>
      <c r="C681" t="s">
        <v>105</v>
      </c>
      <c r="D681" t="s">
        <v>50</v>
      </c>
      <c r="E681" t="s">
        <v>26</v>
      </c>
      <c r="F681" t="s">
        <v>40</v>
      </c>
      <c r="G681" t="s">
        <v>41</v>
      </c>
      <c r="H681" t="s">
        <v>42</v>
      </c>
      <c r="I681" t="s">
        <v>43</v>
      </c>
      <c r="J681" t="s">
        <v>54</v>
      </c>
      <c r="K681" s="2">
        <v>40559.089999999997</v>
      </c>
      <c r="L681" s="4">
        <v>5</v>
      </c>
      <c r="M681" s="3">
        <v>0.01</v>
      </c>
      <c r="N681" s="2">
        <v>3853.11</v>
      </c>
    </row>
    <row r="682" spans="1:14" x14ac:dyDescent="0.3">
      <c r="A682" t="s">
        <v>488</v>
      </c>
      <c r="B682" s="1">
        <v>45090</v>
      </c>
      <c r="C682" t="s">
        <v>489</v>
      </c>
      <c r="D682" t="s">
        <v>85</v>
      </c>
      <c r="E682" t="s">
        <v>26</v>
      </c>
      <c r="F682" t="s">
        <v>79</v>
      </c>
      <c r="G682" t="s">
        <v>80</v>
      </c>
      <c r="H682" t="s">
        <v>47</v>
      </c>
      <c r="I682" t="s">
        <v>29</v>
      </c>
      <c r="J682" t="s">
        <v>22</v>
      </c>
      <c r="K682" s="2">
        <v>25124.59</v>
      </c>
      <c r="L682" s="4">
        <v>1</v>
      </c>
      <c r="M682" s="3">
        <v>0.05</v>
      </c>
      <c r="N682" s="2">
        <v>1884.34</v>
      </c>
    </row>
    <row r="683" spans="1:14" x14ac:dyDescent="0.3">
      <c r="A683" t="s">
        <v>1557</v>
      </c>
      <c r="B683" s="1">
        <v>45090</v>
      </c>
      <c r="C683" t="s">
        <v>1384</v>
      </c>
      <c r="D683" t="s">
        <v>50</v>
      </c>
      <c r="E683" t="s">
        <v>51</v>
      </c>
      <c r="F683" t="s">
        <v>40</v>
      </c>
      <c r="G683" t="s">
        <v>41</v>
      </c>
      <c r="H683" t="s">
        <v>42</v>
      </c>
      <c r="I683" t="s">
        <v>21</v>
      </c>
      <c r="J683" t="s">
        <v>106</v>
      </c>
      <c r="K683" s="2">
        <v>21463.38</v>
      </c>
      <c r="L683" s="4">
        <v>7</v>
      </c>
      <c r="M683" s="3">
        <v>0.15</v>
      </c>
      <c r="N683" s="2">
        <v>536.58000000000004</v>
      </c>
    </row>
    <row r="684" spans="1:14" x14ac:dyDescent="0.3">
      <c r="A684" t="s">
        <v>1763</v>
      </c>
      <c r="B684" s="1">
        <v>45090</v>
      </c>
      <c r="C684" t="s">
        <v>517</v>
      </c>
      <c r="D684" t="s">
        <v>85</v>
      </c>
      <c r="E684" t="s">
        <v>51</v>
      </c>
      <c r="F684" t="s">
        <v>40</v>
      </c>
      <c r="G684" t="s">
        <v>41</v>
      </c>
      <c r="H684" t="s">
        <v>42</v>
      </c>
      <c r="I684" t="s">
        <v>29</v>
      </c>
      <c r="J684" t="s">
        <v>64</v>
      </c>
      <c r="K684" s="2">
        <v>46625.07</v>
      </c>
      <c r="L684" s="4">
        <v>3</v>
      </c>
      <c r="M684" s="3">
        <v>0.16</v>
      </c>
      <c r="N684" s="2">
        <v>932.5</v>
      </c>
    </row>
    <row r="685" spans="1:14" x14ac:dyDescent="0.3">
      <c r="A685" t="s">
        <v>2255</v>
      </c>
      <c r="B685" s="1">
        <v>45090</v>
      </c>
      <c r="C685" t="s">
        <v>1465</v>
      </c>
      <c r="D685" t="s">
        <v>25</v>
      </c>
      <c r="E685" t="s">
        <v>26</v>
      </c>
      <c r="F685" t="s">
        <v>79</v>
      </c>
      <c r="G685" t="s">
        <v>80</v>
      </c>
      <c r="H685" t="s">
        <v>47</v>
      </c>
      <c r="I685" t="s">
        <v>29</v>
      </c>
      <c r="J685" t="s">
        <v>64</v>
      </c>
      <c r="K685" s="2">
        <v>17193.099999999999</v>
      </c>
      <c r="L685" s="4">
        <v>10</v>
      </c>
      <c r="M685" s="3">
        <v>0.16</v>
      </c>
      <c r="N685" s="2">
        <v>343.86</v>
      </c>
    </row>
    <row r="686" spans="1:14" x14ac:dyDescent="0.3">
      <c r="A686" t="s">
        <v>570</v>
      </c>
      <c r="B686" s="1">
        <v>45090</v>
      </c>
      <c r="C686" t="s">
        <v>571</v>
      </c>
      <c r="D686" t="s">
        <v>85</v>
      </c>
      <c r="E686" t="s">
        <v>17</v>
      </c>
      <c r="F686" t="s">
        <v>40</v>
      </c>
      <c r="G686" t="s">
        <v>41</v>
      </c>
      <c r="H686" t="s">
        <v>42</v>
      </c>
      <c r="I686" t="s">
        <v>21</v>
      </c>
      <c r="J686" t="s">
        <v>58</v>
      </c>
      <c r="K686" s="2">
        <v>44927.33</v>
      </c>
      <c r="L686" s="4">
        <v>9</v>
      </c>
      <c r="M686" s="3">
        <v>0.26</v>
      </c>
      <c r="N686" s="2">
        <v>-1347.82</v>
      </c>
    </row>
    <row r="687" spans="1:14" x14ac:dyDescent="0.3">
      <c r="A687" t="s">
        <v>249</v>
      </c>
      <c r="B687" s="1">
        <v>45090</v>
      </c>
      <c r="C687" t="s">
        <v>250</v>
      </c>
      <c r="D687" t="s">
        <v>85</v>
      </c>
      <c r="E687" t="s">
        <v>17</v>
      </c>
      <c r="F687" t="s">
        <v>40</v>
      </c>
      <c r="G687" t="s">
        <v>41</v>
      </c>
      <c r="H687" t="s">
        <v>42</v>
      </c>
      <c r="I687" t="s">
        <v>29</v>
      </c>
      <c r="J687" t="s">
        <v>30</v>
      </c>
      <c r="K687" s="2">
        <v>31449.759999999998</v>
      </c>
      <c r="L687" s="4">
        <v>6</v>
      </c>
      <c r="M687" s="3">
        <v>0.08</v>
      </c>
      <c r="N687" s="2">
        <v>1886.99</v>
      </c>
    </row>
    <row r="688" spans="1:14" x14ac:dyDescent="0.3">
      <c r="A688" t="s">
        <v>2203</v>
      </c>
      <c r="B688" s="1">
        <v>45090</v>
      </c>
      <c r="C688" t="s">
        <v>2204</v>
      </c>
      <c r="D688" t="s">
        <v>33</v>
      </c>
      <c r="E688" t="s">
        <v>26</v>
      </c>
      <c r="F688" t="s">
        <v>27</v>
      </c>
      <c r="G688" t="s">
        <v>28</v>
      </c>
      <c r="H688" t="s">
        <v>20</v>
      </c>
      <c r="I688" t="s">
        <v>21</v>
      </c>
      <c r="J688" t="s">
        <v>37</v>
      </c>
      <c r="K688" s="2">
        <v>9755.16</v>
      </c>
      <c r="L688" s="4">
        <v>7</v>
      </c>
      <c r="M688" s="3">
        <v>0.22</v>
      </c>
      <c r="N688" s="2">
        <v>-97.55</v>
      </c>
    </row>
    <row r="689" spans="1:14" x14ac:dyDescent="0.3">
      <c r="A689" t="s">
        <v>874</v>
      </c>
      <c r="B689" s="1">
        <v>45091</v>
      </c>
      <c r="C689" t="s">
        <v>734</v>
      </c>
      <c r="D689" t="s">
        <v>50</v>
      </c>
      <c r="E689" t="s">
        <v>17</v>
      </c>
      <c r="F689" t="s">
        <v>79</v>
      </c>
      <c r="G689" t="s">
        <v>80</v>
      </c>
      <c r="H689" t="s">
        <v>47</v>
      </c>
      <c r="I689" t="s">
        <v>43</v>
      </c>
      <c r="J689" t="s">
        <v>54</v>
      </c>
      <c r="K689" s="2">
        <v>3943.52</v>
      </c>
      <c r="L689" s="4">
        <v>5</v>
      </c>
      <c r="M689" s="3">
        <v>0.18</v>
      </c>
      <c r="N689" s="2">
        <v>39.44</v>
      </c>
    </row>
    <row r="690" spans="1:14" x14ac:dyDescent="0.3">
      <c r="A690" t="s">
        <v>1509</v>
      </c>
      <c r="B690" s="1">
        <v>45091</v>
      </c>
      <c r="C690" t="s">
        <v>842</v>
      </c>
      <c r="D690" t="s">
        <v>33</v>
      </c>
      <c r="E690" t="s">
        <v>17</v>
      </c>
      <c r="F690" t="s">
        <v>79</v>
      </c>
      <c r="G690" t="s">
        <v>80</v>
      </c>
      <c r="H690" t="s">
        <v>47</v>
      </c>
      <c r="I690" t="s">
        <v>29</v>
      </c>
      <c r="J690" t="s">
        <v>58</v>
      </c>
      <c r="K690" s="2">
        <v>44937.27</v>
      </c>
      <c r="L690" s="4">
        <v>10</v>
      </c>
      <c r="M690" s="3">
        <v>0.28000000000000003</v>
      </c>
      <c r="N690" s="2">
        <v>-1797.49</v>
      </c>
    </row>
    <row r="691" spans="1:14" x14ac:dyDescent="0.3">
      <c r="A691" t="s">
        <v>151</v>
      </c>
      <c r="B691" s="1">
        <v>45092</v>
      </c>
      <c r="C691" t="s">
        <v>152</v>
      </c>
      <c r="D691" t="s">
        <v>16</v>
      </c>
      <c r="E691" t="s">
        <v>26</v>
      </c>
      <c r="F691" t="s">
        <v>34</v>
      </c>
      <c r="G691" t="s">
        <v>35</v>
      </c>
      <c r="H691" t="s">
        <v>36</v>
      </c>
      <c r="I691" t="s">
        <v>21</v>
      </c>
      <c r="J691" t="s">
        <v>58</v>
      </c>
      <c r="K691" s="2">
        <v>1888.83</v>
      </c>
      <c r="L691" s="4">
        <v>3</v>
      </c>
      <c r="M691" s="3">
        <v>0.28000000000000003</v>
      </c>
      <c r="N691" s="2">
        <v>-75.55</v>
      </c>
    </row>
    <row r="692" spans="1:14" x14ac:dyDescent="0.3">
      <c r="A692" t="s">
        <v>828</v>
      </c>
      <c r="B692" s="1">
        <v>45092</v>
      </c>
      <c r="C692" t="s">
        <v>140</v>
      </c>
      <c r="D692" t="s">
        <v>16</v>
      </c>
      <c r="E692" t="s">
        <v>26</v>
      </c>
      <c r="F692" t="s">
        <v>40</v>
      </c>
      <c r="G692" t="s">
        <v>41</v>
      </c>
      <c r="H692" t="s">
        <v>42</v>
      </c>
      <c r="I692" t="s">
        <v>29</v>
      </c>
      <c r="J692" t="s">
        <v>30</v>
      </c>
      <c r="K692" s="2">
        <v>25605.1</v>
      </c>
      <c r="L692" s="4">
        <v>3</v>
      </c>
      <c r="M692" s="3">
        <v>0.3</v>
      </c>
      <c r="N692" s="2">
        <v>-1280.25</v>
      </c>
    </row>
    <row r="693" spans="1:14" x14ac:dyDescent="0.3">
      <c r="A693" t="s">
        <v>1296</v>
      </c>
      <c r="B693" s="1">
        <v>45092</v>
      </c>
      <c r="C693" t="s">
        <v>1297</v>
      </c>
      <c r="D693" t="s">
        <v>16</v>
      </c>
      <c r="E693" t="s">
        <v>51</v>
      </c>
      <c r="F693" t="s">
        <v>27</v>
      </c>
      <c r="G693" t="s">
        <v>28</v>
      </c>
      <c r="H693" t="s">
        <v>20</v>
      </c>
      <c r="I693" t="s">
        <v>43</v>
      </c>
      <c r="J693" t="s">
        <v>22</v>
      </c>
      <c r="K693" s="2">
        <v>17077.900000000001</v>
      </c>
      <c r="L693" s="4">
        <v>6</v>
      </c>
      <c r="M693" s="3">
        <v>0.17</v>
      </c>
      <c r="N693" s="2">
        <v>256.17</v>
      </c>
    </row>
    <row r="694" spans="1:14" x14ac:dyDescent="0.3">
      <c r="A694" t="s">
        <v>1578</v>
      </c>
      <c r="B694" s="1">
        <v>45092</v>
      </c>
      <c r="C694" t="s">
        <v>1579</v>
      </c>
      <c r="D694" t="s">
        <v>57</v>
      </c>
      <c r="E694" t="s">
        <v>17</v>
      </c>
      <c r="F694" t="s">
        <v>18</v>
      </c>
      <c r="G694" t="s">
        <v>19</v>
      </c>
      <c r="H694" t="s">
        <v>20</v>
      </c>
      <c r="I694" t="s">
        <v>21</v>
      </c>
      <c r="J694" t="s">
        <v>22</v>
      </c>
      <c r="K694" s="2">
        <v>5221.09</v>
      </c>
      <c r="L694" s="4">
        <v>6</v>
      </c>
      <c r="M694" s="3">
        <v>0.28000000000000003</v>
      </c>
      <c r="N694" s="2">
        <v>-208.84</v>
      </c>
    </row>
    <row r="695" spans="1:14" x14ac:dyDescent="0.3">
      <c r="A695" t="s">
        <v>1580</v>
      </c>
      <c r="B695" s="1">
        <v>45092</v>
      </c>
      <c r="C695" t="s">
        <v>378</v>
      </c>
      <c r="D695" t="s">
        <v>85</v>
      </c>
      <c r="E695" t="s">
        <v>17</v>
      </c>
      <c r="F695" t="s">
        <v>27</v>
      </c>
      <c r="G695" t="s">
        <v>28</v>
      </c>
      <c r="H695" t="s">
        <v>20</v>
      </c>
      <c r="I695" t="s">
        <v>43</v>
      </c>
      <c r="J695" t="s">
        <v>54</v>
      </c>
      <c r="K695" s="2">
        <v>47367.68</v>
      </c>
      <c r="L695" s="4">
        <v>9</v>
      </c>
      <c r="M695" s="3">
        <v>0.01</v>
      </c>
      <c r="N695" s="2">
        <v>4499.93</v>
      </c>
    </row>
    <row r="696" spans="1:14" x14ac:dyDescent="0.3">
      <c r="A696" t="s">
        <v>2197</v>
      </c>
      <c r="B696" s="1">
        <v>45092</v>
      </c>
      <c r="C696" t="s">
        <v>182</v>
      </c>
      <c r="D696" t="s">
        <v>61</v>
      </c>
      <c r="E696" t="s">
        <v>51</v>
      </c>
      <c r="F696" t="s">
        <v>27</v>
      </c>
      <c r="G696" t="s">
        <v>28</v>
      </c>
      <c r="H696" t="s">
        <v>20</v>
      </c>
      <c r="I696" t="s">
        <v>21</v>
      </c>
      <c r="J696" t="s">
        <v>106</v>
      </c>
      <c r="K696" s="2">
        <v>22552.66</v>
      </c>
      <c r="L696" s="4">
        <v>8</v>
      </c>
      <c r="M696" s="3">
        <v>7.0000000000000007E-2</v>
      </c>
      <c r="N696" s="2">
        <v>1465.92</v>
      </c>
    </row>
    <row r="697" spans="1:14" x14ac:dyDescent="0.3">
      <c r="A697" t="s">
        <v>2042</v>
      </c>
      <c r="B697" s="1">
        <v>45092</v>
      </c>
      <c r="C697" t="s">
        <v>2043</v>
      </c>
      <c r="D697" t="s">
        <v>16</v>
      </c>
      <c r="E697" t="s">
        <v>51</v>
      </c>
      <c r="F697" t="s">
        <v>18</v>
      </c>
      <c r="G697" t="s">
        <v>19</v>
      </c>
      <c r="H697" t="s">
        <v>20</v>
      </c>
      <c r="I697" t="s">
        <v>43</v>
      </c>
      <c r="J697" t="s">
        <v>22</v>
      </c>
      <c r="K697" s="2">
        <v>3180.3</v>
      </c>
      <c r="L697" s="4">
        <v>2</v>
      </c>
      <c r="M697" s="3">
        <v>0.02</v>
      </c>
      <c r="N697" s="2">
        <v>286.23</v>
      </c>
    </row>
    <row r="698" spans="1:14" x14ac:dyDescent="0.3">
      <c r="A698" t="s">
        <v>669</v>
      </c>
      <c r="B698" s="1">
        <v>45092</v>
      </c>
      <c r="C698" t="s">
        <v>257</v>
      </c>
      <c r="D698" t="s">
        <v>25</v>
      </c>
      <c r="E698" t="s">
        <v>26</v>
      </c>
      <c r="F698" t="s">
        <v>34</v>
      </c>
      <c r="G698" t="s">
        <v>35</v>
      </c>
      <c r="H698" t="s">
        <v>36</v>
      </c>
      <c r="I698" t="s">
        <v>43</v>
      </c>
      <c r="J698" t="s">
        <v>106</v>
      </c>
      <c r="K698" s="2">
        <v>41274.31</v>
      </c>
      <c r="L698" s="4">
        <v>9</v>
      </c>
      <c r="M698" s="3">
        <v>0.12</v>
      </c>
      <c r="N698" s="2">
        <v>1650.97</v>
      </c>
    </row>
    <row r="699" spans="1:14" x14ac:dyDescent="0.3">
      <c r="A699" t="s">
        <v>269</v>
      </c>
      <c r="B699" s="1">
        <v>45093</v>
      </c>
      <c r="C699" t="s">
        <v>270</v>
      </c>
      <c r="D699" t="s">
        <v>25</v>
      </c>
      <c r="E699" t="s">
        <v>51</v>
      </c>
      <c r="F699" t="s">
        <v>46</v>
      </c>
      <c r="G699" t="s">
        <v>46</v>
      </c>
      <c r="H699" t="s">
        <v>47</v>
      </c>
      <c r="I699" t="s">
        <v>29</v>
      </c>
      <c r="J699" t="s">
        <v>58</v>
      </c>
      <c r="K699" s="2">
        <v>25791.71</v>
      </c>
      <c r="L699" s="4">
        <v>10</v>
      </c>
      <c r="M699" s="3">
        <v>0.08</v>
      </c>
      <c r="N699" s="2">
        <v>1547.5</v>
      </c>
    </row>
    <row r="700" spans="1:14" x14ac:dyDescent="0.3">
      <c r="A700" t="s">
        <v>1347</v>
      </c>
      <c r="B700" s="1">
        <v>45093</v>
      </c>
      <c r="C700" t="s">
        <v>1348</v>
      </c>
      <c r="D700" t="s">
        <v>25</v>
      </c>
      <c r="E700" t="s">
        <v>26</v>
      </c>
      <c r="F700" t="s">
        <v>79</v>
      </c>
      <c r="G700" t="s">
        <v>80</v>
      </c>
      <c r="H700" t="s">
        <v>47</v>
      </c>
      <c r="I700" t="s">
        <v>43</v>
      </c>
      <c r="J700" t="s">
        <v>58</v>
      </c>
      <c r="K700" s="2">
        <v>48943.77</v>
      </c>
      <c r="L700" s="4">
        <v>10</v>
      </c>
      <c r="M700" s="3">
        <v>0.26</v>
      </c>
      <c r="N700" s="2">
        <v>-1468.31</v>
      </c>
    </row>
    <row r="701" spans="1:14" x14ac:dyDescent="0.3">
      <c r="A701" t="s">
        <v>2115</v>
      </c>
      <c r="B701" s="1">
        <v>45093</v>
      </c>
      <c r="C701" t="s">
        <v>1301</v>
      </c>
      <c r="D701" t="s">
        <v>16</v>
      </c>
      <c r="E701" t="s">
        <v>17</v>
      </c>
      <c r="F701" t="s">
        <v>46</v>
      </c>
      <c r="G701" t="s">
        <v>46</v>
      </c>
      <c r="H701" t="s">
        <v>47</v>
      </c>
      <c r="I701" t="s">
        <v>43</v>
      </c>
      <c r="J701" t="s">
        <v>30</v>
      </c>
      <c r="K701" s="2">
        <v>43131.22</v>
      </c>
      <c r="L701" s="4">
        <v>8</v>
      </c>
      <c r="M701" s="3">
        <v>0.02</v>
      </c>
      <c r="N701" s="2">
        <v>3881.81</v>
      </c>
    </row>
    <row r="702" spans="1:14" x14ac:dyDescent="0.3">
      <c r="A702" t="s">
        <v>1532</v>
      </c>
      <c r="B702" s="1">
        <v>45093</v>
      </c>
      <c r="C702" t="s">
        <v>1056</v>
      </c>
      <c r="D702" t="s">
        <v>33</v>
      </c>
      <c r="E702" t="s">
        <v>17</v>
      </c>
      <c r="F702" t="s">
        <v>27</v>
      </c>
      <c r="G702" t="s">
        <v>28</v>
      </c>
      <c r="H702" t="s">
        <v>20</v>
      </c>
      <c r="I702" t="s">
        <v>21</v>
      </c>
      <c r="J702" t="s">
        <v>30</v>
      </c>
      <c r="K702" s="2">
        <v>46246.67</v>
      </c>
      <c r="L702" s="4">
        <v>6</v>
      </c>
      <c r="M702" s="3">
        <v>0.28000000000000003</v>
      </c>
      <c r="N702" s="2">
        <v>-1849.87</v>
      </c>
    </row>
    <row r="703" spans="1:14" x14ac:dyDescent="0.3">
      <c r="A703" t="s">
        <v>498</v>
      </c>
      <c r="B703" s="1">
        <v>45093</v>
      </c>
      <c r="C703" t="s">
        <v>499</v>
      </c>
      <c r="D703" t="s">
        <v>16</v>
      </c>
      <c r="E703" t="s">
        <v>51</v>
      </c>
      <c r="F703" t="s">
        <v>40</v>
      </c>
      <c r="G703" t="s">
        <v>41</v>
      </c>
      <c r="H703" t="s">
        <v>42</v>
      </c>
      <c r="I703" t="s">
        <v>43</v>
      </c>
      <c r="J703" t="s">
        <v>22</v>
      </c>
      <c r="K703" s="2">
        <v>5871.46</v>
      </c>
      <c r="L703" s="4">
        <v>9</v>
      </c>
      <c r="M703" s="3">
        <v>0.2</v>
      </c>
      <c r="N703" s="2">
        <v>0</v>
      </c>
    </row>
    <row r="704" spans="1:14" x14ac:dyDescent="0.3">
      <c r="A704" t="s">
        <v>317</v>
      </c>
      <c r="B704" s="1">
        <v>45094</v>
      </c>
      <c r="C704" t="s">
        <v>318</v>
      </c>
      <c r="D704" t="s">
        <v>33</v>
      </c>
      <c r="E704" t="s">
        <v>26</v>
      </c>
      <c r="F704" t="s">
        <v>27</v>
      </c>
      <c r="G704" t="s">
        <v>28</v>
      </c>
      <c r="H704" t="s">
        <v>20</v>
      </c>
      <c r="I704" t="s">
        <v>43</v>
      </c>
      <c r="J704" t="s">
        <v>22</v>
      </c>
      <c r="K704" s="2">
        <v>29476.74</v>
      </c>
      <c r="L704" s="4">
        <v>7</v>
      </c>
      <c r="M704" s="3">
        <v>0.03</v>
      </c>
      <c r="N704" s="2">
        <v>2505.52</v>
      </c>
    </row>
    <row r="705" spans="1:14" x14ac:dyDescent="0.3">
      <c r="A705" t="s">
        <v>939</v>
      </c>
      <c r="B705" s="1">
        <v>45094</v>
      </c>
      <c r="C705" t="s">
        <v>567</v>
      </c>
      <c r="D705" t="s">
        <v>25</v>
      </c>
      <c r="E705" t="s">
        <v>17</v>
      </c>
      <c r="F705" t="s">
        <v>18</v>
      </c>
      <c r="G705" t="s">
        <v>19</v>
      </c>
      <c r="H705" t="s">
        <v>20</v>
      </c>
      <c r="I705" t="s">
        <v>43</v>
      </c>
      <c r="J705" t="s">
        <v>37</v>
      </c>
      <c r="K705" s="2">
        <v>13465.7</v>
      </c>
      <c r="L705" s="4">
        <v>2</v>
      </c>
      <c r="M705" s="3">
        <v>7.0000000000000007E-2</v>
      </c>
      <c r="N705" s="2">
        <v>875.27</v>
      </c>
    </row>
    <row r="706" spans="1:14" x14ac:dyDescent="0.3">
      <c r="A706" t="s">
        <v>2052</v>
      </c>
      <c r="B706" s="1">
        <v>45094</v>
      </c>
      <c r="C706" t="s">
        <v>638</v>
      </c>
      <c r="D706" t="s">
        <v>50</v>
      </c>
      <c r="E706" t="s">
        <v>51</v>
      </c>
      <c r="F706" t="s">
        <v>79</v>
      </c>
      <c r="G706" t="s">
        <v>80</v>
      </c>
      <c r="H706" t="s">
        <v>47</v>
      </c>
      <c r="I706" t="s">
        <v>21</v>
      </c>
      <c r="J706" t="s">
        <v>54</v>
      </c>
      <c r="K706" s="2">
        <v>44782.43</v>
      </c>
      <c r="L706" s="4">
        <v>7</v>
      </c>
      <c r="M706" s="3">
        <v>0.04</v>
      </c>
      <c r="N706" s="2">
        <v>3582.59</v>
      </c>
    </row>
    <row r="707" spans="1:14" x14ac:dyDescent="0.3">
      <c r="A707" t="s">
        <v>1906</v>
      </c>
      <c r="B707" s="1">
        <v>45094</v>
      </c>
      <c r="C707" t="s">
        <v>1907</v>
      </c>
      <c r="D707" t="s">
        <v>25</v>
      </c>
      <c r="E707" t="s">
        <v>51</v>
      </c>
      <c r="F707" t="s">
        <v>18</v>
      </c>
      <c r="G707" t="s">
        <v>19</v>
      </c>
      <c r="H707" t="s">
        <v>20</v>
      </c>
      <c r="I707" t="s">
        <v>43</v>
      </c>
      <c r="J707" t="s">
        <v>54</v>
      </c>
      <c r="K707" s="2">
        <v>29802</v>
      </c>
      <c r="L707" s="4">
        <v>3</v>
      </c>
      <c r="M707" s="3">
        <v>0.01</v>
      </c>
      <c r="N707" s="2">
        <v>2831.19</v>
      </c>
    </row>
    <row r="708" spans="1:14" x14ac:dyDescent="0.3">
      <c r="A708" t="s">
        <v>296</v>
      </c>
      <c r="B708" s="1">
        <v>45094</v>
      </c>
      <c r="C708" t="s">
        <v>297</v>
      </c>
      <c r="D708" t="s">
        <v>61</v>
      </c>
      <c r="E708" t="s">
        <v>17</v>
      </c>
      <c r="F708" t="s">
        <v>27</v>
      </c>
      <c r="G708" t="s">
        <v>28</v>
      </c>
      <c r="H708" t="s">
        <v>20</v>
      </c>
      <c r="I708" t="s">
        <v>43</v>
      </c>
      <c r="J708" t="s">
        <v>30</v>
      </c>
      <c r="K708" s="2">
        <v>5376.85</v>
      </c>
      <c r="L708" s="4">
        <v>10</v>
      </c>
      <c r="M708" s="3">
        <v>0.27</v>
      </c>
      <c r="N708" s="2">
        <v>-188.19</v>
      </c>
    </row>
    <row r="709" spans="1:14" x14ac:dyDescent="0.3">
      <c r="A709" t="s">
        <v>1726</v>
      </c>
      <c r="B709" s="1">
        <v>45094</v>
      </c>
      <c r="C709" t="s">
        <v>1727</v>
      </c>
      <c r="D709" t="s">
        <v>25</v>
      </c>
      <c r="E709" t="s">
        <v>17</v>
      </c>
      <c r="F709" t="s">
        <v>27</v>
      </c>
      <c r="G709" t="s">
        <v>28</v>
      </c>
      <c r="H709" t="s">
        <v>20</v>
      </c>
      <c r="I709" t="s">
        <v>21</v>
      </c>
      <c r="J709" t="s">
        <v>106</v>
      </c>
      <c r="K709" s="2">
        <v>12388.79</v>
      </c>
      <c r="L709" s="4">
        <v>3</v>
      </c>
      <c r="M709" s="3">
        <v>0.22</v>
      </c>
      <c r="N709" s="2">
        <v>-123.89</v>
      </c>
    </row>
    <row r="710" spans="1:14" x14ac:dyDescent="0.3">
      <c r="A710" t="s">
        <v>1327</v>
      </c>
      <c r="B710" s="1">
        <v>45095</v>
      </c>
      <c r="C710" t="s">
        <v>515</v>
      </c>
      <c r="D710" t="s">
        <v>50</v>
      </c>
      <c r="E710" t="s">
        <v>26</v>
      </c>
      <c r="F710" t="s">
        <v>79</v>
      </c>
      <c r="G710" t="s">
        <v>80</v>
      </c>
      <c r="H710" t="s">
        <v>47</v>
      </c>
      <c r="I710" t="s">
        <v>21</v>
      </c>
      <c r="J710" t="s">
        <v>37</v>
      </c>
      <c r="K710" s="2">
        <v>1128.06</v>
      </c>
      <c r="L710" s="4">
        <v>8</v>
      </c>
      <c r="M710" s="3">
        <v>0.18</v>
      </c>
      <c r="N710" s="2">
        <v>11.28</v>
      </c>
    </row>
    <row r="711" spans="1:14" x14ac:dyDescent="0.3">
      <c r="A711" t="s">
        <v>109</v>
      </c>
      <c r="B711" s="1">
        <v>45095</v>
      </c>
      <c r="C711" t="s">
        <v>110</v>
      </c>
      <c r="D711" t="s">
        <v>25</v>
      </c>
      <c r="E711" t="s">
        <v>17</v>
      </c>
      <c r="F711" t="s">
        <v>18</v>
      </c>
      <c r="G711" t="s">
        <v>19</v>
      </c>
      <c r="H711" t="s">
        <v>20</v>
      </c>
      <c r="I711" t="s">
        <v>21</v>
      </c>
      <c r="J711" t="s">
        <v>64</v>
      </c>
      <c r="K711" s="2">
        <v>47567.02</v>
      </c>
      <c r="L711" s="4">
        <v>9</v>
      </c>
      <c r="M711" s="3">
        <v>0.16</v>
      </c>
      <c r="N711" s="2">
        <v>951.34</v>
      </c>
    </row>
    <row r="712" spans="1:14" x14ac:dyDescent="0.3">
      <c r="A712" t="s">
        <v>376</v>
      </c>
      <c r="B712" s="1">
        <v>45096</v>
      </c>
      <c r="C712" t="s">
        <v>95</v>
      </c>
      <c r="D712" t="s">
        <v>50</v>
      </c>
      <c r="E712" t="s">
        <v>17</v>
      </c>
      <c r="F712" t="s">
        <v>79</v>
      </c>
      <c r="G712" t="s">
        <v>80</v>
      </c>
      <c r="H712" t="s">
        <v>47</v>
      </c>
      <c r="I712" t="s">
        <v>43</v>
      </c>
      <c r="J712" t="s">
        <v>37</v>
      </c>
      <c r="K712" s="2">
        <v>6519.01</v>
      </c>
      <c r="L712" s="4">
        <v>7</v>
      </c>
      <c r="M712" s="3">
        <v>0.14000000000000001</v>
      </c>
      <c r="N712" s="2">
        <v>195.57</v>
      </c>
    </row>
    <row r="713" spans="1:14" x14ac:dyDescent="0.3">
      <c r="A713" t="s">
        <v>772</v>
      </c>
      <c r="B713" s="1">
        <v>45096</v>
      </c>
      <c r="C713" t="s">
        <v>706</v>
      </c>
      <c r="D713" t="s">
        <v>85</v>
      </c>
      <c r="E713" t="s">
        <v>26</v>
      </c>
      <c r="F713" t="s">
        <v>46</v>
      </c>
      <c r="G713" t="s">
        <v>46</v>
      </c>
      <c r="H713" t="s">
        <v>47</v>
      </c>
      <c r="I713" t="s">
        <v>21</v>
      </c>
      <c r="J713" t="s">
        <v>30</v>
      </c>
      <c r="K713" s="2">
        <v>7686.12</v>
      </c>
      <c r="L713" s="4">
        <v>4</v>
      </c>
      <c r="M713" s="3">
        <v>0.19</v>
      </c>
      <c r="N713" s="2">
        <v>38.43</v>
      </c>
    </row>
    <row r="714" spans="1:14" x14ac:dyDescent="0.3">
      <c r="A714" t="s">
        <v>1067</v>
      </c>
      <c r="B714" s="1">
        <v>45096</v>
      </c>
      <c r="C714" t="s">
        <v>363</v>
      </c>
      <c r="D714" t="s">
        <v>16</v>
      </c>
      <c r="E714" t="s">
        <v>51</v>
      </c>
      <c r="F714" t="s">
        <v>40</v>
      </c>
      <c r="G714" t="s">
        <v>41</v>
      </c>
      <c r="H714" t="s">
        <v>42</v>
      </c>
      <c r="I714" t="s">
        <v>21</v>
      </c>
      <c r="J714" t="s">
        <v>22</v>
      </c>
      <c r="K714" s="2">
        <v>36672.5</v>
      </c>
      <c r="L714" s="4">
        <v>7</v>
      </c>
      <c r="M714" s="3">
        <v>0.05</v>
      </c>
      <c r="N714" s="2">
        <v>2750.44</v>
      </c>
    </row>
    <row r="715" spans="1:14" x14ac:dyDescent="0.3">
      <c r="A715" t="s">
        <v>1252</v>
      </c>
      <c r="B715" s="1">
        <v>45096</v>
      </c>
      <c r="C715" t="s">
        <v>1253</v>
      </c>
      <c r="D715" t="s">
        <v>33</v>
      </c>
      <c r="E715" t="s">
        <v>17</v>
      </c>
      <c r="F715" t="s">
        <v>18</v>
      </c>
      <c r="G715" t="s">
        <v>19</v>
      </c>
      <c r="H715" t="s">
        <v>20</v>
      </c>
      <c r="I715" t="s">
        <v>29</v>
      </c>
      <c r="J715" t="s">
        <v>37</v>
      </c>
      <c r="K715" s="2">
        <v>36493.99</v>
      </c>
      <c r="L715" s="4">
        <v>9</v>
      </c>
      <c r="M715" s="3">
        <v>0.09</v>
      </c>
      <c r="N715" s="2">
        <v>2007.17</v>
      </c>
    </row>
    <row r="716" spans="1:14" x14ac:dyDescent="0.3">
      <c r="A716" t="s">
        <v>1728</v>
      </c>
      <c r="B716" s="1">
        <v>45096</v>
      </c>
      <c r="C716" t="s">
        <v>320</v>
      </c>
      <c r="D716" t="s">
        <v>61</v>
      </c>
      <c r="E716" t="s">
        <v>17</v>
      </c>
      <c r="F716" t="s">
        <v>79</v>
      </c>
      <c r="G716" t="s">
        <v>80</v>
      </c>
      <c r="H716" t="s">
        <v>47</v>
      </c>
      <c r="I716" t="s">
        <v>29</v>
      </c>
      <c r="J716" t="s">
        <v>106</v>
      </c>
      <c r="K716" s="2">
        <v>17310.13</v>
      </c>
      <c r="L716" s="4">
        <v>10</v>
      </c>
      <c r="M716" s="3">
        <v>7.0000000000000007E-2</v>
      </c>
      <c r="N716" s="2">
        <v>1125.1600000000001</v>
      </c>
    </row>
    <row r="717" spans="1:14" x14ac:dyDescent="0.3">
      <c r="A717" t="s">
        <v>2026</v>
      </c>
      <c r="B717" s="1">
        <v>45096</v>
      </c>
      <c r="C717" t="s">
        <v>1033</v>
      </c>
      <c r="D717" t="s">
        <v>16</v>
      </c>
      <c r="E717" t="s">
        <v>17</v>
      </c>
      <c r="F717" t="s">
        <v>40</v>
      </c>
      <c r="G717" t="s">
        <v>41</v>
      </c>
      <c r="H717" t="s">
        <v>42</v>
      </c>
      <c r="I717" t="s">
        <v>29</v>
      </c>
      <c r="J717" t="s">
        <v>106</v>
      </c>
      <c r="K717" s="2">
        <v>21744.59</v>
      </c>
      <c r="L717" s="4">
        <v>6</v>
      </c>
      <c r="M717" s="3">
        <v>0.13</v>
      </c>
      <c r="N717" s="2">
        <v>761.06</v>
      </c>
    </row>
    <row r="718" spans="1:14" x14ac:dyDescent="0.3">
      <c r="A718" t="s">
        <v>504</v>
      </c>
      <c r="B718" s="1">
        <v>45096</v>
      </c>
      <c r="C718" t="s">
        <v>505</v>
      </c>
      <c r="D718" t="s">
        <v>25</v>
      </c>
      <c r="E718" t="s">
        <v>26</v>
      </c>
      <c r="F718" t="s">
        <v>40</v>
      </c>
      <c r="G718" t="s">
        <v>41</v>
      </c>
      <c r="H718" t="s">
        <v>42</v>
      </c>
      <c r="I718" t="s">
        <v>29</v>
      </c>
      <c r="J718" t="s">
        <v>54</v>
      </c>
      <c r="K718" s="2">
        <v>34517.480000000003</v>
      </c>
      <c r="L718" s="4">
        <v>7</v>
      </c>
      <c r="M718" s="3">
        <v>0.02</v>
      </c>
      <c r="N718" s="2">
        <v>3106.57</v>
      </c>
    </row>
    <row r="719" spans="1:14" x14ac:dyDescent="0.3">
      <c r="A719" t="s">
        <v>719</v>
      </c>
      <c r="B719" s="1">
        <v>45097</v>
      </c>
      <c r="C719" t="s">
        <v>589</v>
      </c>
      <c r="D719" t="s">
        <v>16</v>
      </c>
      <c r="E719" t="s">
        <v>51</v>
      </c>
      <c r="F719" t="s">
        <v>18</v>
      </c>
      <c r="G719" t="s">
        <v>19</v>
      </c>
      <c r="H719" t="s">
        <v>20</v>
      </c>
      <c r="I719" t="s">
        <v>21</v>
      </c>
      <c r="J719" t="s">
        <v>64</v>
      </c>
      <c r="K719" s="2">
        <v>1090.96</v>
      </c>
      <c r="L719" s="4">
        <v>3</v>
      </c>
      <c r="M719" s="3">
        <v>0.14000000000000001</v>
      </c>
      <c r="N719" s="2">
        <v>32.729999999999997</v>
      </c>
    </row>
    <row r="720" spans="1:14" x14ac:dyDescent="0.3">
      <c r="A720" t="s">
        <v>1317</v>
      </c>
      <c r="B720" s="1">
        <v>45098</v>
      </c>
      <c r="C720" t="s">
        <v>1318</v>
      </c>
      <c r="D720" t="s">
        <v>16</v>
      </c>
      <c r="E720" t="s">
        <v>17</v>
      </c>
      <c r="F720" t="s">
        <v>34</v>
      </c>
      <c r="G720" t="s">
        <v>35</v>
      </c>
      <c r="H720" t="s">
        <v>36</v>
      </c>
      <c r="I720" t="s">
        <v>43</v>
      </c>
      <c r="J720" t="s">
        <v>30</v>
      </c>
      <c r="K720" s="2">
        <v>11982.37</v>
      </c>
      <c r="L720" s="4">
        <v>5</v>
      </c>
      <c r="M720" s="3">
        <v>0.2</v>
      </c>
      <c r="N720" s="2">
        <v>0</v>
      </c>
    </row>
    <row r="721" spans="1:14" x14ac:dyDescent="0.3">
      <c r="A721" t="s">
        <v>2082</v>
      </c>
      <c r="B721" s="1">
        <v>45098</v>
      </c>
      <c r="C721" t="s">
        <v>2083</v>
      </c>
      <c r="D721" t="s">
        <v>50</v>
      </c>
      <c r="E721" t="s">
        <v>26</v>
      </c>
      <c r="F721" t="s">
        <v>79</v>
      </c>
      <c r="G721" t="s">
        <v>80</v>
      </c>
      <c r="H721" t="s">
        <v>47</v>
      </c>
      <c r="I721" t="s">
        <v>29</v>
      </c>
      <c r="J721" t="s">
        <v>37</v>
      </c>
      <c r="K721" s="2">
        <v>23515.54</v>
      </c>
      <c r="L721" s="4">
        <v>4</v>
      </c>
      <c r="M721" s="3">
        <v>0.05</v>
      </c>
      <c r="N721" s="2">
        <v>1763.67</v>
      </c>
    </row>
    <row r="722" spans="1:14" x14ac:dyDescent="0.3">
      <c r="A722" t="s">
        <v>832</v>
      </c>
      <c r="B722" s="1">
        <v>45098</v>
      </c>
      <c r="C722" t="s">
        <v>318</v>
      </c>
      <c r="D722" t="s">
        <v>85</v>
      </c>
      <c r="E722" t="s">
        <v>17</v>
      </c>
      <c r="F722" t="s">
        <v>27</v>
      </c>
      <c r="G722" t="s">
        <v>28</v>
      </c>
      <c r="H722" t="s">
        <v>20</v>
      </c>
      <c r="I722" t="s">
        <v>43</v>
      </c>
      <c r="J722" t="s">
        <v>54</v>
      </c>
      <c r="K722" s="2">
        <v>13492.33</v>
      </c>
      <c r="L722" s="4">
        <v>1</v>
      </c>
      <c r="M722" s="3">
        <v>7.0000000000000007E-2</v>
      </c>
      <c r="N722" s="2">
        <v>877</v>
      </c>
    </row>
    <row r="723" spans="1:14" x14ac:dyDescent="0.3">
      <c r="A723" t="s">
        <v>902</v>
      </c>
      <c r="B723" s="1">
        <v>45098</v>
      </c>
      <c r="C723" t="s">
        <v>860</v>
      </c>
      <c r="D723" t="s">
        <v>25</v>
      </c>
      <c r="E723" t="s">
        <v>51</v>
      </c>
      <c r="F723" t="s">
        <v>34</v>
      </c>
      <c r="G723" t="s">
        <v>35</v>
      </c>
      <c r="H723" t="s">
        <v>36</v>
      </c>
      <c r="I723" t="s">
        <v>21</v>
      </c>
      <c r="J723" t="s">
        <v>37</v>
      </c>
      <c r="K723" s="2">
        <v>1425.04</v>
      </c>
      <c r="L723" s="4">
        <v>8</v>
      </c>
      <c r="M723" s="3">
        <v>0.06</v>
      </c>
      <c r="N723" s="2">
        <v>99.75</v>
      </c>
    </row>
    <row r="724" spans="1:14" x14ac:dyDescent="0.3">
      <c r="A724" t="s">
        <v>111</v>
      </c>
      <c r="B724" s="1">
        <v>45099</v>
      </c>
      <c r="C724" t="s">
        <v>112</v>
      </c>
      <c r="D724" t="s">
        <v>61</v>
      </c>
      <c r="E724" t="s">
        <v>17</v>
      </c>
      <c r="F724" t="s">
        <v>40</v>
      </c>
      <c r="G724" t="s">
        <v>41</v>
      </c>
      <c r="H724" t="s">
        <v>42</v>
      </c>
      <c r="I724" t="s">
        <v>43</v>
      </c>
      <c r="J724" t="s">
        <v>64</v>
      </c>
      <c r="K724" s="2">
        <v>38486.6</v>
      </c>
      <c r="L724" s="4">
        <v>3</v>
      </c>
      <c r="M724" s="3">
        <v>0.08</v>
      </c>
      <c r="N724" s="2">
        <v>2309.1999999999998</v>
      </c>
    </row>
    <row r="725" spans="1:14" x14ac:dyDescent="0.3">
      <c r="A725" t="s">
        <v>183</v>
      </c>
      <c r="B725" s="1">
        <v>45099</v>
      </c>
      <c r="C725" t="s">
        <v>184</v>
      </c>
      <c r="D725" t="s">
        <v>16</v>
      </c>
      <c r="E725" t="s">
        <v>51</v>
      </c>
      <c r="F725" t="s">
        <v>79</v>
      </c>
      <c r="G725" t="s">
        <v>80</v>
      </c>
      <c r="H725" t="s">
        <v>47</v>
      </c>
      <c r="I725" t="s">
        <v>43</v>
      </c>
      <c r="J725" t="s">
        <v>30</v>
      </c>
      <c r="K725" s="2">
        <v>39101.1</v>
      </c>
      <c r="L725" s="4">
        <v>4</v>
      </c>
      <c r="M725" s="3">
        <v>0.27</v>
      </c>
      <c r="N725" s="2">
        <v>-1368.54</v>
      </c>
    </row>
    <row r="726" spans="1:14" x14ac:dyDescent="0.3">
      <c r="A726" t="s">
        <v>291</v>
      </c>
      <c r="B726" s="1">
        <v>45100</v>
      </c>
      <c r="C726" t="s">
        <v>116</v>
      </c>
      <c r="D726" t="s">
        <v>16</v>
      </c>
      <c r="E726" t="s">
        <v>26</v>
      </c>
      <c r="F726" t="s">
        <v>79</v>
      </c>
      <c r="G726" t="s">
        <v>80</v>
      </c>
      <c r="H726" t="s">
        <v>47</v>
      </c>
      <c r="I726" t="s">
        <v>29</v>
      </c>
      <c r="J726" t="s">
        <v>58</v>
      </c>
      <c r="K726" s="2">
        <v>23845.05</v>
      </c>
      <c r="L726" s="4">
        <v>2</v>
      </c>
      <c r="M726" s="3">
        <v>0.3</v>
      </c>
      <c r="N726" s="2">
        <v>-1192.25</v>
      </c>
    </row>
    <row r="727" spans="1:14" x14ac:dyDescent="0.3">
      <c r="A727" t="s">
        <v>1978</v>
      </c>
      <c r="B727" s="1">
        <v>45100</v>
      </c>
      <c r="C727" t="s">
        <v>431</v>
      </c>
      <c r="D727" t="s">
        <v>33</v>
      </c>
      <c r="E727" t="s">
        <v>17</v>
      </c>
      <c r="F727" t="s">
        <v>27</v>
      </c>
      <c r="G727" t="s">
        <v>28</v>
      </c>
      <c r="H727" t="s">
        <v>20</v>
      </c>
      <c r="I727" t="s">
        <v>43</v>
      </c>
      <c r="J727" t="s">
        <v>22</v>
      </c>
      <c r="K727" s="2">
        <v>11230.38</v>
      </c>
      <c r="L727" s="4">
        <v>10</v>
      </c>
      <c r="M727" s="3">
        <v>0.2</v>
      </c>
      <c r="N727" s="2">
        <v>0</v>
      </c>
    </row>
    <row r="728" spans="1:14" x14ac:dyDescent="0.3">
      <c r="A728" t="s">
        <v>658</v>
      </c>
      <c r="B728" s="1">
        <v>45101</v>
      </c>
      <c r="C728" t="s">
        <v>659</v>
      </c>
      <c r="D728" t="s">
        <v>85</v>
      </c>
      <c r="E728" t="s">
        <v>26</v>
      </c>
      <c r="F728" t="s">
        <v>46</v>
      </c>
      <c r="G728" t="s">
        <v>46</v>
      </c>
      <c r="H728" t="s">
        <v>47</v>
      </c>
      <c r="I728" t="s">
        <v>43</v>
      </c>
      <c r="J728" t="s">
        <v>37</v>
      </c>
      <c r="K728" s="2">
        <v>10160.290000000001</v>
      </c>
      <c r="L728" s="4">
        <v>3</v>
      </c>
      <c r="M728" s="3">
        <v>0.12</v>
      </c>
      <c r="N728" s="2">
        <v>406.41</v>
      </c>
    </row>
    <row r="729" spans="1:14" x14ac:dyDescent="0.3">
      <c r="A729" t="s">
        <v>1029</v>
      </c>
      <c r="B729" s="1">
        <v>45101</v>
      </c>
      <c r="C729" t="s">
        <v>1030</v>
      </c>
      <c r="D729" t="s">
        <v>16</v>
      </c>
      <c r="E729" t="s">
        <v>17</v>
      </c>
      <c r="F729" t="s">
        <v>79</v>
      </c>
      <c r="G729" t="s">
        <v>80</v>
      </c>
      <c r="H729" t="s">
        <v>47</v>
      </c>
      <c r="I729" t="s">
        <v>29</v>
      </c>
      <c r="J729" t="s">
        <v>30</v>
      </c>
      <c r="K729" s="2">
        <v>37250.800000000003</v>
      </c>
      <c r="L729" s="4">
        <v>9</v>
      </c>
      <c r="M729" s="3">
        <v>0.13</v>
      </c>
      <c r="N729" s="2">
        <v>1303.78</v>
      </c>
    </row>
    <row r="730" spans="1:14" x14ac:dyDescent="0.3">
      <c r="A730" t="s">
        <v>123</v>
      </c>
      <c r="B730" s="1">
        <v>45101</v>
      </c>
      <c r="C730" t="s">
        <v>124</v>
      </c>
      <c r="D730" t="s">
        <v>85</v>
      </c>
      <c r="E730" t="s">
        <v>26</v>
      </c>
      <c r="F730" t="s">
        <v>46</v>
      </c>
      <c r="G730" t="s">
        <v>46</v>
      </c>
      <c r="H730" t="s">
        <v>47</v>
      </c>
      <c r="I730" t="s">
        <v>21</v>
      </c>
      <c r="J730" t="s">
        <v>106</v>
      </c>
      <c r="K730" s="2">
        <v>42392.57</v>
      </c>
      <c r="L730" s="4">
        <v>4</v>
      </c>
      <c r="M730" s="3">
        <v>0.1</v>
      </c>
      <c r="N730" s="2">
        <v>2119.63</v>
      </c>
    </row>
    <row r="731" spans="1:14" x14ac:dyDescent="0.3">
      <c r="A731" t="s">
        <v>942</v>
      </c>
      <c r="B731" s="1">
        <v>45101</v>
      </c>
      <c r="C731" t="s">
        <v>943</v>
      </c>
      <c r="D731" t="s">
        <v>85</v>
      </c>
      <c r="E731" t="s">
        <v>26</v>
      </c>
      <c r="F731" t="s">
        <v>79</v>
      </c>
      <c r="G731" t="s">
        <v>80</v>
      </c>
      <c r="H731" t="s">
        <v>47</v>
      </c>
      <c r="I731" t="s">
        <v>29</v>
      </c>
      <c r="J731" t="s">
        <v>22</v>
      </c>
      <c r="K731" s="2">
        <v>11986.62</v>
      </c>
      <c r="L731" s="4">
        <v>4</v>
      </c>
      <c r="M731" s="3">
        <v>0.21</v>
      </c>
      <c r="N731" s="2">
        <v>-59.93</v>
      </c>
    </row>
    <row r="732" spans="1:14" x14ac:dyDescent="0.3">
      <c r="A732" t="s">
        <v>1800</v>
      </c>
      <c r="B732" s="1">
        <v>45101</v>
      </c>
      <c r="C732" t="s">
        <v>1801</v>
      </c>
      <c r="D732" t="s">
        <v>61</v>
      </c>
      <c r="E732" t="s">
        <v>26</v>
      </c>
      <c r="F732" t="s">
        <v>46</v>
      </c>
      <c r="G732" t="s">
        <v>46</v>
      </c>
      <c r="H732" t="s">
        <v>47</v>
      </c>
      <c r="I732" t="s">
        <v>43</v>
      </c>
      <c r="J732" t="s">
        <v>30</v>
      </c>
      <c r="K732" s="2">
        <v>18628.07</v>
      </c>
      <c r="L732" s="4">
        <v>8</v>
      </c>
      <c r="M732" s="3">
        <v>0.2</v>
      </c>
      <c r="N732" s="2">
        <v>0</v>
      </c>
    </row>
    <row r="733" spans="1:14" x14ac:dyDescent="0.3">
      <c r="A733" t="s">
        <v>1109</v>
      </c>
      <c r="B733" s="1">
        <v>45102</v>
      </c>
      <c r="C733" t="s">
        <v>1110</v>
      </c>
      <c r="D733" t="s">
        <v>16</v>
      </c>
      <c r="E733" t="s">
        <v>26</v>
      </c>
      <c r="F733" t="s">
        <v>27</v>
      </c>
      <c r="G733" t="s">
        <v>28</v>
      </c>
      <c r="H733" t="s">
        <v>20</v>
      </c>
      <c r="I733" t="s">
        <v>29</v>
      </c>
      <c r="J733" t="s">
        <v>106</v>
      </c>
      <c r="K733" s="2">
        <v>4834.42</v>
      </c>
      <c r="L733" s="4">
        <v>7</v>
      </c>
      <c r="M733" s="3">
        <v>0.22</v>
      </c>
      <c r="N733" s="2">
        <v>-48.34</v>
      </c>
    </row>
    <row r="734" spans="1:14" x14ac:dyDescent="0.3">
      <c r="A734" t="s">
        <v>1227</v>
      </c>
      <c r="B734" s="1">
        <v>45102</v>
      </c>
      <c r="C734" t="s">
        <v>32</v>
      </c>
      <c r="D734" t="s">
        <v>61</v>
      </c>
      <c r="E734" t="s">
        <v>51</v>
      </c>
      <c r="F734" t="s">
        <v>27</v>
      </c>
      <c r="G734" t="s">
        <v>28</v>
      </c>
      <c r="H734" t="s">
        <v>20</v>
      </c>
      <c r="I734" t="s">
        <v>29</v>
      </c>
      <c r="J734" t="s">
        <v>22</v>
      </c>
      <c r="K734" s="2">
        <v>5678.05</v>
      </c>
      <c r="L734" s="4">
        <v>6</v>
      </c>
      <c r="M734" s="3">
        <v>0.17</v>
      </c>
      <c r="N734" s="2">
        <v>85.17</v>
      </c>
    </row>
    <row r="735" spans="1:14" x14ac:dyDescent="0.3">
      <c r="A735" t="s">
        <v>1785</v>
      </c>
      <c r="B735" s="1">
        <v>45102</v>
      </c>
      <c r="C735" t="s">
        <v>72</v>
      </c>
      <c r="D735" t="s">
        <v>33</v>
      </c>
      <c r="E735" t="s">
        <v>26</v>
      </c>
      <c r="F735" t="s">
        <v>18</v>
      </c>
      <c r="G735" t="s">
        <v>19</v>
      </c>
      <c r="H735" t="s">
        <v>20</v>
      </c>
      <c r="I735" t="s">
        <v>29</v>
      </c>
      <c r="J735" t="s">
        <v>54</v>
      </c>
      <c r="K735" s="2">
        <v>16221.71</v>
      </c>
      <c r="L735" s="4">
        <v>4</v>
      </c>
      <c r="M735" s="3">
        <v>0.05</v>
      </c>
      <c r="N735" s="2">
        <v>1216.6300000000001</v>
      </c>
    </row>
    <row r="736" spans="1:14" x14ac:dyDescent="0.3">
      <c r="A736" t="s">
        <v>1387</v>
      </c>
      <c r="B736" s="1">
        <v>45102</v>
      </c>
      <c r="C736" t="s">
        <v>1388</v>
      </c>
      <c r="D736" t="s">
        <v>25</v>
      </c>
      <c r="E736" t="s">
        <v>26</v>
      </c>
      <c r="F736" t="s">
        <v>34</v>
      </c>
      <c r="G736" t="s">
        <v>35</v>
      </c>
      <c r="H736" t="s">
        <v>36</v>
      </c>
      <c r="I736" t="s">
        <v>29</v>
      </c>
      <c r="J736" t="s">
        <v>37</v>
      </c>
      <c r="K736" s="2">
        <v>30625.4</v>
      </c>
      <c r="L736" s="4">
        <v>3</v>
      </c>
      <c r="M736" s="3">
        <v>0.14000000000000001</v>
      </c>
      <c r="N736" s="2">
        <v>918.76</v>
      </c>
    </row>
    <row r="737" spans="1:14" x14ac:dyDescent="0.3">
      <c r="A737" t="s">
        <v>1543</v>
      </c>
      <c r="B737" s="1">
        <v>45102</v>
      </c>
      <c r="C737" t="s">
        <v>1224</v>
      </c>
      <c r="D737" t="s">
        <v>57</v>
      </c>
      <c r="E737" t="s">
        <v>51</v>
      </c>
      <c r="F737" t="s">
        <v>34</v>
      </c>
      <c r="G737" t="s">
        <v>35</v>
      </c>
      <c r="H737" t="s">
        <v>36</v>
      </c>
      <c r="I737" t="s">
        <v>21</v>
      </c>
      <c r="J737" t="s">
        <v>30</v>
      </c>
      <c r="K737" s="2">
        <v>12830.9</v>
      </c>
      <c r="L737" s="4">
        <v>9</v>
      </c>
      <c r="M737" s="3">
        <v>0.26</v>
      </c>
      <c r="N737" s="2">
        <v>-384.93</v>
      </c>
    </row>
    <row r="738" spans="1:14" x14ac:dyDescent="0.3">
      <c r="A738" t="s">
        <v>1014</v>
      </c>
      <c r="B738" s="1">
        <v>45103</v>
      </c>
      <c r="C738" t="s">
        <v>1015</v>
      </c>
      <c r="D738" t="s">
        <v>16</v>
      </c>
      <c r="E738" t="s">
        <v>17</v>
      </c>
      <c r="F738" t="s">
        <v>40</v>
      </c>
      <c r="G738" t="s">
        <v>41</v>
      </c>
      <c r="H738" t="s">
        <v>42</v>
      </c>
      <c r="I738" t="s">
        <v>21</v>
      </c>
      <c r="J738" t="s">
        <v>106</v>
      </c>
      <c r="K738" s="2">
        <v>33619.870000000003</v>
      </c>
      <c r="L738" s="4">
        <v>5</v>
      </c>
      <c r="M738" s="3">
        <v>0.1</v>
      </c>
      <c r="N738" s="2">
        <v>1680.99</v>
      </c>
    </row>
    <row r="739" spans="1:14" x14ac:dyDescent="0.3">
      <c r="A739" t="s">
        <v>1090</v>
      </c>
      <c r="B739" s="1">
        <v>45103</v>
      </c>
      <c r="C739" t="s">
        <v>627</v>
      </c>
      <c r="D739" t="s">
        <v>50</v>
      </c>
      <c r="E739" t="s">
        <v>17</v>
      </c>
      <c r="F739" t="s">
        <v>46</v>
      </c>
      <c r="G739" t="s">
        <v>46</v>
      </c>
      <c r="H739" t="s">
        <v>47</v>
      </c>
      <c r="I739" t="s">
        <v>43</v>
      </c>
      <c r="J739" t="s">
        <v>58</v>
      </c>
      <c r="K739" s="2">
        <v>1096.47</v>
      </c>
      <c r="L739" s="4">
        <v>1</v>
      </c>
      <c r="M739" s="3">
        <v>0.02</v>
      </c>
      <c r="N739" s="2">
        <v>98.68</v>
      </c>
    </row>
    <row r="740" spans="1:14" x14ac:dyDescent="0.3">
      <c r="A740" t="s">
        <v>1332</v>
      </c>
      <c r="B740" s="1">
        <v>45104</v>
      </c>
      <c r="C740" t="s">
        <v>1333</v>
      </c>
      <c r="D740" t="s">
        <v>33</v>
      </c>
      <c r="E740" t="s">
        <v>17</v>
      </c>
      <c r="F740" t="s">
        <v>40</v>
      </c>
      <c r="G740" t="s">
        <v>41</v>
      </c>
      <c r="H740" t="s">
        <v>42</v>
      </c>
      <c r="I740" t="s">
        <v>21</v>
      </c>
      <c r="J740" t="s">
        <v>54</v>
      </c>
      <c r="K740" s="2">
        <v>31148.02</v>
      </c>
      <c r="L740" s="4">
        <v>2</v>
      </c>
      <c r="M740" s="3">
        <v>0.04</v>
      </c>
      <c r="N740" s="2">
        <v>2491.84</v>
      </c>
    </row>
    <row r="741" spans="1:14" x14ac:dyDescent="0.3">
      <c r="A741" t="s">
        <v>1395</v>
      </c>
      <c r="B741" s="1">
        <v>45104</v>
      </c>
      <c r="C741" t="s">
        <v>1396</v>
      </c>
      <c r="D741" t="s">
        <v>85</v>
      </c>
      <c r="E741" t="s">
        <v>17</v>
      </c>
      <c r="F741" t="s">
        <v>18</v>
      </c>
      <c r="G741" t="s">
        <v>19</v>
      </c>
      <c r="H741" t="s">
        <v>20</v>
      </c>
      <c r="I741" t="s">
        <v>29</v>
      </c>
      <c r="J741" t="s">
        <v>54</v>
      </c>
      <c r="K741" s="2">
        <v>4403.87</v>
      </c>
      <c r="L741" s="4">
        <v>9</v>
      </c>
      <c r="M741" s="3">
        <v>0.22</v>
      </c>
      <c r="N741" s="2">
        <v>-44.04</v>
      </c>
    </row>
    <row r="742" spans="1:14" x14ac:dyDescent="0.3">
      <c r="A742" t="s">
        <v>1091</v>
      </c>
      <c r="B742" s="1">
        <v>45104</v>
      </c>
      <c r="C742" t="s">
        <v>229</v>
      </c>
      <c r="D742" t="s">
        <v>33</v>
      </c>
      <c r="E742" t="s">
        <v>17</v>
      </c>
      <c r="F742" t="s">
        <v>40</v>
      </c>
      <c r="G742" t="s">
        <v>41</v>
      </c>
      <c r="H742" t="s">
        <v>42</v>
      </c>
      <c r="I742" t="s">
        <v>21</v>
      </c>
      <c r="J742" t="s">
        <v>22</v>
      </c>
      <c r="K742" s="2">
        <v>1125.04</v>
      </c>
      <c r="L742" s="4">
        <v>6</v>
      </c>
      <c r="M742" s="3">
        <v>0.12</v>
      </c>
      <c r="N742" s="2">
        <v>45</v>
      </c>
    </row>
    <row r="743" spans="1:14" x14ac:dyDescent="0.3">
      <c r="A743" t="s">
        <v>813</v>
      </c>
      <c r="B743" s="1">
        <v>45104</v>
      </c>
      <c r="C743" t="s">
        <v>814</v>
      </c>
      <c r="D743" t="s">
        <v>61</v>
      </c>
      <c r="E743" t="s">
        <v>51</v>
      </c>
      <c r="F743" t="s">
        <v>18</v>
      </c>
      <c r="G743" t="s">
        <v>19</v>
      </c>
      <c r="H743" t="s">
        <v>20</v>
      </c>
      <c r="I743" t="s">
        <v>21</v>
      </c>
      <c r="J743" t="s">
        <v>37</v>
      </c>
      <c r="K743" s="2">
        <v>27806.65</v>
      </c>
      <c r="L743" s="4">
        <v>6</v>
      </c>
      <c r="M743" s="3">
        <v>0.23</v>
      </c>
      <c r="N743" s="2">
        <v>-417.1</v>
      </c>
    </row>
    <row r="744" spans="1:14" x14ac:dyDescent="0.3">
      <c r="A744" t="s">
        <v>1188</v>
      </c>
      <c r="B744" s="1">
        <v>45104</v>
      </c>
      <c r="C744" t="s">
        <v>318</v>
      </c>
      <c r="D744" t="s">
        <v>57</v>
      </c>
      <c r="E744" t="s">
        <v>26</v>
      </c>
      <c r="F744" t="s">
        <v>27</v>
      </c>
      <c r="G744" t="s">
        <v>28</v>
      </c>
      <c r="H744" t="s">
        <v>20</v>
      </c>
      <c r="I744" t="s">
        <v>29</v>
      </c>
      <c r="J744" t="s">
        <v>54</v>
      </c>
      <c r="K744" s="2">
        <v>28424.080000000002</v>
      </c>
      <c r="L744" s="4">
        <v>10</v>
      </c>
      <c r="M744" s="3">
        <v>0.1</v>
      </c>
      <c r="N744" s="2">
        <v>1421.2</v>
      </c>
    </row>
    <row r="745" spans="1:14" x14ac:dyDescent="0.3">
      <c r="A745" t="s">
        <v>1492</v>
      </c>
      <c r="B745" s="1">
        <v>45105</v>
      </c>
      <c r="C745" t="s">
        <v>417</v>
      </c>
      <c r="D745" t="s">
        <v>33</v>
      </c>
      <c r="E745" t="s">
        <v>17</v>
      </c>
      <c r="F745" t="s">
        <v>27</v>
      </c>
      <c r="G745" t="s">
        <v>28</v>
      </c>
      <c r="H745" t="s">
        <v>20</v>
      </c>
      <c r="I745" t="s">
        <v>43</v>
      </c>
      <c r="J745" t="s">
        <v>106</v>
      </c>
      <c r="K745" s="2">
        <v>46045.15</v>
      </c>
      <c r="L745" s="4">
        <v>10</v>
      </c>
      <c r="M745" s="3">
        <v>0.04</v>
      </c>
      <c r="N745" s="2">
        <v>3683.61</v>
      </c>
    </row>
    <row r="746" spans="1:14" x14ac:dyDescent="0.3">
      <c r="A746" t="s">
        <v>1365</v>
      </c>
      <c r="B746" s="1">
        <v>45105</v>
      </c>
      <c r="C746" t="s">
        <v>1149</v>
      </c>
      <c r="D746" t="s">
        <v>85</v>
      </c>
      <c r="E746" t="s">
        <v>17</v>
      </c>
      <c r="F746" t="s">
        <v>40</v>
      </c>
      <c r="G746" t="s">
        <v>41</v>
      </c>
      <c r="H746" t="s">
        <v>42</v>
      </c>
      <c r="I746" t="s">
        <v>21</v>
      </c>
      <c r="J746" t="s">
        <v>37</v>
      </c>
      <c r="K746" s="2">
        <v>39422.879999999997</v>
      </c>
      <c r="L746" s="4">
        <v>1</v>
      </c>
      <c r="M746" s="3">
        <v>0.16</v>
      </c>
      <c r="N746" s="2">
        <v>788.46</v>
      </c>
    </row>
    <row r="747" spans="1:14" x14ac:dyDescent="0.3">
      <c r="A747" t="s">
        <v>657</v>
      </c>
      <c r="B747" s="1">
        <v>45106</v>
      </c>
      <c r="C747" t="s">
        <v>126</v>
      </c>
      <c r="D747" t="s">
        <v>25</v>
      </c>
      <c r="E747" t="s">
        <v>17</v>
      </c>
      <c r="F747" t="s">
        <v>27</v>
      </c>
      <c r="G747" t="s">
        <v>28</v>
      </c>
      <c r="H747" t="s">
        <v>20</v>
      </c>
      <c r="I747" t="s">
        <v>21</v>
      </c>
      <c r="J747" t="s">
        <v>54</v>
      </c>
      <c r="K747" s="2">
        <v>45334.38</v>
      </c>
      <c r="L747" s="4">
        <v>2</v>
      </c>
      <c r="M747" s="3">
        <v>0.23</v>
      </c>
      <c r="N747" s="2">
        <v>-680.02</v>
      </c>
    </row>
    <row r="748" spans="1:14" x14ac:dyDescent="0.3">
      <c r="A748" t="s">
        <v>2038</v>
      </c>
      <c r="B748" s="1">
        <v>45106</v>
      </c>
      <c r="C748" t="s">
        <v>845</v>
      </c>
      <c r="D748" t="s">
        <v>61</v>
      </c>
      <c r="E748" t="s">
        <v>26</v>
      </c>
      <c r="F748" t="s">
        <v>46</v>
      </c>
      <c r="G748" t="s">
        <v>46</v>
      </c>
      <c r="H748" t="s">
        <v>47</v>
      </c>
      <c r="I748" t="s">
        <v>29</v>
      </c>
      <c r="J748" t="s">
        <v>106</v>
      </c>
      <c r="K748" s="2">
        <v>5071.12</v>
      </c>
      <c r="L748" s="4">
        <v>2</v>
      </c>
      <c r="M748" s="3">
        <v>0.09</v>
      </c>
      <c r="N748" s="2">
        <v>278.91000000000003</v>
      </c>
    </row>
    <row r="749" spans="1:14" x14ac:dyDescent="0.3">
      <c r="A749" t="s">
        <v>2274</v>
      </c>
      <c r="B749" s="1">
        <v>45106</v>
      </c>
      <c r="C749" t="s">
        <v>830</v>
      </c>
      <c r="D749" t="s">
        <v>85</v>
      </c>
      <c r="E749" t="s">
        <v>26</v>
      </c>
      <c r="F749" t="s">
        <v>27</v>
      </c>
      <c r="G749" t="s">
        <v>28</v>
      </c>
      <c r="H749" t="s">
        <v>20</v>
      </c>
      <c r="I749" t="s">
        <v>29</v>
      </c>
      <c r="J749" t="s">
        <v>22</v>
      </c>
      <c r="K749" s="2">
        <v>12956.01</v>
      </c>
      <c r="L749" s="4">
        <v>9</v>
      </c>
      <c r="M749" s="3">
        <v>0.28000000000000003</v>
      </c>
      <c r="N749" s="2">
        <v>-518.24</v>
      </c>
    </row>
    <row r="750" spans="1:14" x14ac:dyDescent="0.3">
      <c r="A750" t="s">
        <v>2205</v>
      </c>
      <c r="B750" s="1">
        <v>45106</v>
      </c>
      <c r="C750" t="s">
        <v>593</v>
      </c>
      <c r="D750" t="s">
        <v>16</v>
      </c>
      <c r="E750" t="s">
        <v>51</v>
      </c>
      <c r="F750" t="s">
        <v>18</v>
      </c>
      <c r="G750" t="s">
        <v>19</v>
      </c>
      <c r="H750" t="s">
        <v>20</v>
      </c>
      <c r="I750" t="s">
        <v>29</v>
      </c>
      <c r="J750" t="s">
        <v>30</v>
      </c>
      <c r="K750" s="2">
        <v>19146.98</v>
      </c>
      <c r="L750" s="4">
        <v>1</v>
      </c>
      <c r="M750" s="3">
        <v>0.22</v>
      </c>
      <c r="N750" s="2">
        <v>-191.47</v>
      </c>
    </row>
    <row r="751" spans="1:14" x14ac:dyDescent="0.3">
      <c r="A751" t="s">
        <v>1645</v>
      </c>
      <c r="B751" s="1">
        <v>45107</v>
      </c>
      <c r="C751" t="s">
        <v>797</v>
      </c>
      <c r="D751" t="s">
        <v>16</v>
      </c>
      <c r="E751" t="s">
        <v>51</v>
      </c>
      <c r="F751" t="s">
        <v>79</v>
      </c>
      <c r="G751" t="s">
        <v>80</v>
      </c>
      <c r="H751" t="s">
        <v>47</v>
      </c>
      <c r="I751" t="s">
        <v>29</v>
      </c>
      <c r="J751" t="s">
        <v>22</v>
      </c>
      <c r="K751" s="2">
        <v>5978.47</v>
      </c>
      <c r="L751" s="4">
        <v>3</v>
      </c>
      <c r="M751" s="3">
        <v>0.21</v>
      </c>
      <c r="N751" s="2">
        <v>-29.89</v>
      </c>
    </row>
    <row r="752" spans="1:14" x14ac:dyDescent="0.3">
      <c r="A752" t="s">
        <v>1808</v>
      </c>
      <c r="B752" s="1">
        <v>45108</v>
      </c>
      <c r="C752" t="s">
        <v>1809</v>
      </c>
      <c r="D752" t="s">
        <v>85</v>
      </c>
      <c r="E752" t="s">
        <v>26</v>
      </c>
      <c r="F752" t="s">
        <v>40</v>
      </c>
      <c r="G752" t="s">
        <v>41</v>
      </c>
      <c r="H752" t="s">
        <v>42</v>
      </c>
      <c r="I752" t="s">
        <v>29</v>
      </c>
      <c r="J752" t="s">
        <v>30</v>
      </c>
      <c r="K752" s="2">
        <v>19799.7</v>
      </c>
      <c r="L752" s="4">
        <v>8</v>
      </c>
      <c r="M752" s="3">
        <v>7.0000000000000007E-2</v>
      </c>
      <c r="N752" s="2">
        <v>1286.98</v>
      </c>
    </row>
    <row r="753" spans="1:14" x14ac:dyDescent="0.3">
      <c r="A753" t="s">
        <v>1900</v>
      </c>
      <c r="B753" s="1">
        <v>45108</v>
      </c>
      <c r="C753" t="s">
        <v>1901</v>
      </c>
      <c r="D753" t="s">
        <v>50</v>
      </c>
      <c r="E753" t="s">
        <v>51</v>
      </c>
      <c r="F753" t="s">
        <v>46</v>
      </c>
      <c r="G753" t="s">
        <v>46</v>
      </c>
      <c r="H753" t="s">
        <v>47</v>
      </c>
      <c r="I753" t="s">
        <v>21</v>
      </c>
      <c r="J753" t="s">
        <v>106</v>
      </c>
      <c r="K753" s="2">
        <v>39978.99</v>
      </c>
      <c r="L753" s="4">
        <v>1</v>
      </c>
      <c r="M753" s="3">
        <v>0.06</v>
      </c>
      <c r="N753" s="2">
        <v>2798.53</v>
      </c>
    </row>
    <row r="754" spans="1:14" x14ac:dyDescent="0.3">
      <c r="A754" t="s">
        <v>2156</v>
      </c>
      <c r="B754" s="1">
        <v>45108</v>
      </c>
      <c r="C754" t="s">
        <v>934</v>
      </c>
      <c r="D754" t="s">
        <v>57</v>
      </c>
      <c r="E754" t="s">
        <v>26</v>
      </c>
      <c r="F754" t="s">
        <v>40</v>
      </c>
      <c r="G754" t="s">
        <v>41</v>
      </c>
      <c r="H754" t="s">
        <v>42</v>
      </c>
      <c r="I754" t="s">
        <v>29</v>
      </c>
      <c r="J754" t="s">
        <v>30</v>
      </c>
      <c r="K754" s="2">
        <v>49238.87</v>
      </c>
      <c r="L754" s="4">
        <v>4</v>
      </c>
      <c r="M754" s="3">
        <v>0.11</v>
      </c>
      <c r="N754" s="2">
        <v>2215.75</v>
      </c>
    </row>
    <row r="755" spans="1:14" x14ac:dyDescent="0.3">
      <c r="A755" t="s">
        <v>1161</v>
      </c>
      <c r="B755" s="1">
        <v>45109</v>
      </c>
      <c r="C755" t="s">
        <v>728</v>
      </c>
      <c r="D755" t="s">
        <v>57</v>
      </c>
      <c r="E755" t="s">
        <v>51</v>
      </c>
      <c r="F755" t="s">
        <v>79</v>
      </c>
      <c r="G755" t="s">
        <v>80</v>
      </c>
      <c r="H755" t="s">
        <v>47</v>
      </c>
      <c r="I755" t="s">
        <v>43</v>
      </c>
      <c r="J755" t="s">
        <v>64</v>
      </c>
      <c r="K755" s="2">
        <v>28853.95</v>
      </c>
      <c r="L755" s="4">
        <v>3</v>
      </c>
      <c r="M755" s="3">
        <v>0.16</v>
      </c>
      <c r="N755" s="2">
        <v>577.08000000000004</v>
      </c>
    </row>
    <row r="756" spans="1:14" x14ac:dyDescent="0.3">
      <c r="A756" t="s">
        <v>1289</v>
      </c>
      <c r="B756" s="1">
        <v>45109</v>
      </c>
      <c r="C756" t="s">
        <v>1290</v>
      </c>
      <c r="D756" t="s">
        <v>57</v>
      </c>
      <c r="E756" t="s">
        <v>26</v>
      </c>
      <c r="F756" t="s">
        <v>40</v>
      </c>
      <c r="G756" t="s">
        <v>41</v>
      </c>
      <c r="H756" t="s">
        <v>42</v>
      </c>
      <c r="I756" t="s">
        <v>43</v>
      </c>
      <c r="J756" t="s">
        <v>64</v>
      </c>
      <c r="K756" s="2">
        <v>34243.019999999997</v>
      </c>
      <c r="L756" s="4">
        <v>3</v>
      </c>
      <c r="M756" s="3">
        <v>0.05</v>
      </c>
      <c r="N756" s="2">
        <v>2568.23</v>
      </c>
    </row>
    <row r="757" spans="1:14" x14ac:dyDescent="0.3">
      <c r="A757" t="s">
        <v>2014</v>
      </c>
      <c r="B757" s="1">
        <v>45109</v>
      </c>
      <c r="C757" t="s">
        <v>1670</v>
      </c>
      <c r="D757" t="s">
        <v>16</v>
      </c>
      <c r="E757" t="s">
        <v>51</v>
      </c>
      <c r="F757" t="s">
        <v>34</v>
      </c>
      <c r="G757" t="s">
        <v>35</v>
      </c>
      <c r="H757" t="s">
        <v>36</v>
      </c>
      <c r="I757" t="s">
        <v>21</v>
      </c>
      <c r="J757" t="s">
        <v>58</v>
      </c>
      <c r="K757" s="2">
        <v>28828.42</v>
      </c>
      <c r="L757" s="4">
        <v>1</v>
      </c>
      <c r="M757" s="3">
        <v>0.13</v>
      </c>
      <c r="N757" s="2">
        <v>1008.99</v>
      </c>
    </row>
    <row r="758" spans="1:14" x14ac:dyDescent="0.3">
      <c r="A758" t="s">
        <v>1829</v>
      </c>
      <c r="B758" s="1">
        <v>45110</v>
      </c>
      <c r="C758" t="s">
        <v>928</v>
      </c>
      <c r="D758" t="s">
        <v>25</v>
      </c>
      <c r="E758" t="s">
        <v>17</v>
      </c>
      <c r="F758" t="s">
        <v>46</v>
      </c>
      <c r="G758" t="s">
        <v>46</v>
      </c>
      <c r="H758" t="s">
        <v>47</v>
      </c>
      <c r="I758" t="s">
        <v>21</v>
      </c>
      <c r="J758" t="s">
        <v>37</v>
      </c>
      <c r="K758" s="2">
        <v>29758.77</v>
      </c>
      <c r="L758" s="4">
        <v>10</v>
      </c>
      <c r="M758" s="3">
        <v>0</v>
      </c>
      <c r="N758" s="2">
        <v>2975.88</v>
      </c>
    </row>
    <row r="759" spans="1:14" x14ac:dyDescent="0.3">
      <c r="A759" t="s">
        <v>73</v>
      </c>
      <c r="B759" s="1">
        <v>45110</v>
      </c>
      <c r="C759" t="s">
        <v>74</v>
      </c>
      <c r="D759" t="s">
        <v>61</v>
      </c>
      <c r="E759" t="s">
        <v>17</v>
      </c>
      <c r="F759" t="s">
        <v>40</v>
      </c>
      <c r="G759" t="s">
        <v>41</v>
      </c>
      <c r="H759" t="s">
        <v>42</v>
      </c>
      <c r="I759" t="s">
        <v>21</v>
      </c>
      <c r="J759" t="s">
        <v>54</v>
      </c>
      <c r="K759" s="2">
        <v>33612.61</v>
      </c>
      <c r="L759" s="4">
        <v>9</v>
      </c>
      <c r="M759" s="3">
        <v>0.01</v>
      </c>
      <c r="N759" s="2">
        <v>3193.2</v>
      </c>
    </row>
    <row r="760" spans="1:14" x14ac:dyDescent="0.3">
      <c r="A760" t="s">
        <v>1804</v>
      </c>
      <c r="B760" s="1">
        <v>45111</v>
      </c>
      <c r="C760" t="s">
        <v>540</v>
      </c>
      <c r="D760" t="s">
        <v>57</v>
      </c>
      <c r="E760" t="s">
        <v>26</v>
      </c>
      <c r="F760" t="s">
        <v>27</v>
      </c>
      <c r="G760" t="s">
        <v>28</v>
      </c>
      <c r="H760" t="s">
        <v>20</v>
      </c>
      <c r="I760" t="s">
        <v>29</v>
      </c>
      <c r="J760" t="s">
        <v>37</v>
      </c>
      <c r="K760" s="2">
        <v>45044.49</v>
      </c>
      <c r="L760" s="4">
        <v>9</v>
      </c>
      <c r="M760" s="3">
        <v>0.01</v>
      </c>
      <c r="N760" s="2">
        <v>4279.2299999999996</v>
      </c>
    </row>
    <row r="761" spans="1:14" x14ac:dyDescent="0.3">
      <c r="A761" t="s">
        <v>2235</v>
      </c>
      <c r="B761" s="1">
        <v>45111</v>
      </c>
      <c r="C761" t="s">
        <v>627</v>
      </c>
      <c r="D761" t="s">
        <v>61</v>
      </c>
      <c r="E761" t="s">
        <v>17</v>
      </c>
      <c r="F761" t="s">
        <v>27</v>
      </c>
      <c r="G761" t="s">
        <v>28</v>
      </c>
      <c r="H761" t="s">
        <v>20</v>
      </c>
      <c r="I761" t="s">
        <v>43</v>
      </c>
      <c r="J761" t="s">
        <v>22</v>
      </c>
      <c r="K761" s="2">
        <v>40296.120000000003</v>
      </c>
      <c r="L761" s="4">
        <v>6</v>
      </c>
      <c r="M761" s="3">
        <v>0.16</v>
      </c>
      <c r="N761" s="2">
        <v>805.92</v>
      </c>
    </row>
    <row r="762" spans="1:14" x14ac:dyDescent="0.3">
      <c r="A762" t="s">
        <v>2254</v>
      </c>
      <c r="B762" s="1">
        <v>45111</v>
      </c>
      <c r="C762" t="s">
        <v>999</v>
      </c>
      <c r="D762" t="s">
        <v>61</v>
      </c>
      <c r="E762" t="s">
        <v>17</v>
      </c>
      <c r="F762" t="s">
        <v>46</v>
      </c>
      <c r="G762" t="s">
        <v>46</v>
      </c>
      <c r="H762" t="s">
        <v>47</v>
      </c>
      <c r="I762" t="s">
        <v>21</v>
      </c>
      <c r="J762" t="s">
        <v>30</v>
      </c>
      <c r="K762" s="2">
        <v>6627.44</v>
      </c>
      <c r="L762" s="4">
        <v>6</v>
      </c>
      <c r="M762" s="3">
        <v>0.12</v>
      </c>
      <c r="N762" s="2">
        <v>265.10000000000002</v>
      </c>
    </row>
    <row r="763" spans="1:14" x14ac:dyDescent="0.3">
      <c r="A763" t="s">
        <v>1663</v>
      </c>
      <c r="B763" s="1">
        <v>45111</v>
      </c>
      <c r="C763" t="s">
        <v>1664</v>
      </c>
      <c r="D763" t="s">
        <v>16</v>
      </c>
      <c r="E763" t="s">
        <v>26</v>
      </c>
      <c r="F763" t="s">
        <v>18</v>
      </c>
      <c r="G763" t="s">
        <v>19</v>
      </c>
      <c r="H763" t="s">
        <v>20</v>
      </c>
      <c r="I763" t="s">
        <v>43</v>
      </c>
      <c r="J763" t="s">
        <v>22</v>
      </c>
      <c r="K763" s="2">
        <v>45314.86</v>
      </c>
      <c r="L763" s="4">
        <v>3</v>
      </c>
      <c r="M763" s="3">
        <v>0.08</v>
      </c>
      <c r="N763" s="2">
        <v>2718.89</v>
      </c>
    </row>
    <row r="764" spans="1:14" x14ac:dyDescent="0.3">
      <c r="A764" t="s">
        <v>674</v>
      </c>
      <c r="B764" s="1">
        <v>45111</v>
      </c>
      <c r="C764" t="s">
        <v>214</v>
      </c>
      <c r="D764" t="s">
        <v>61</v>
      </c>
      <c r="E764" t="s">
        <v>51</v>
      </c>
      <c r="F764" t="s">
        <v>79</v>
      </c>
      <c r="G764" t="s">
        <v>80</v>
      </c>
      <c r="H764" t="s">
        <v>47</v>
      </c>
      <c r="I764" t="s">
        <v>21</v>
      </c>
      <c r="J764" t="s">
        <v>106</v>
      </c>
      <c r="K764" s="2">
        <v>36238.959999999999</v>
      </c>
      <c r="L764" s="4">
        <v>10</v>
      </c>
      <c r="M764" s="3">
        <v>0.18</v>
      </c>
      <c r="N764" s="2">
        <v>362.39</v>
      </c>
    </row>
    <row r="765" spans="1:14" x14ac:dyDescent="0.3">
      <c r="A765" t="s">
        <v>1246</v>
      </c>
      <c r="B765" s="1">
        <v>45111</v>
      </c>
      <c r="C765" t="s">
        <v>1247</v>
      </c>
      <c r="D765" t="s">
        <v>57</v>
      </c>
      <c r="E765" t="s">
        <v>26</v>
      </c>
      <c r="F765" t="s">
        <v>46</v>
      </c>
      <c r="G765" t="s">
        <v>46</v>
      </c>
      <c r="H765" t="s">
        <v>47</v>
      </c>
      <c r="I765" t="s">
        <v>29</v>
      </c>
      <c r="J765" t="s">
        <v>30</v>
      </c>
      <c r="K765" s="2">
        <v>6713.41</v>
      </c>
      <c r="L765" s="4">
        <v>4</v>
      </c>
      <c r="M765" s="3">
        <v>0.01</v>
      </c>
      <c r="N765" s="2">
        <v>637.77</v>
      </c>
    </row>
    <row r="766" spans="1:14" x14ac:dyDescent="0.3">
      <c r="A766" t="s">
        <v>1510</v>
      </c>
      <c r="B766" s="1">
        <v>45111</v>
      </c>
      <c r="C766" t="s">
        <v>148</v>
      </c>
      <c r="D766" t="s">
        <v>61</v>
      </c>
      <c r="E766" t="s">
        <v>51</v>
      </c>
      <c r="F766" t="s">
        <v>79</v>
      </c>
      <c r="G766" t="s">
        <v>80</v>
      </c>
      <c r="H766" t="s">
        <v>47</v>
      </c>
      <c r="I766" t="s">
        <v>21</v>
      </c>
      <c r="J766" t="s">
        <v>54</v>
      </c>
      <c r="K766" s="2">
        <v>6877.65</v>
      </c>
      <c r="L766" s="4">
        <v>5</v>
      </c>
      <c r="M766" s="3">
        <v>0.2</v>
      </c>
      <c r="N766" s="2">
        <v>0</v>
      </c>
    </row>
    <row r="767" spans="1:14" x14ac:dyDescent="0.3">
      <c r="A767" t="s">
        <v>2095</v>
      </c>
      <c r="B767" s="1">
        <v>45112</v>
      </c>
      <c r="C767" t="s">
        <v>395</v>
      </c>
      <c r="D767" t="s">
        <v>25</v>
      </c>
      <c r="E767" t="s">
        <v>17</v>
      </c>
      <c r="F767" t="s">
        <v>27</v>
      </c>
      <c r="G767" t="s">
        <v>28</v>
      </c>
      <c r="H767" t="s">
        <v>20</v>
      </c>
      <c r="I767" t="s">
        <v>43</v>
      </c>
      <c r="J767" t="s">
        <v>37</v>
      </c>
      <c r="K767" s="2">
        <v>2301.86</v>
      </c>
      <c r="L767" s="4">
        <v>2</v>
      </c>
      <c r="M767" s="3">
        <v>0.25</v>
      </c>
      <c r="N767" s="2">
        <v>-57.55</v>
      </c>
    </row>
    <row r="768" spans="1:14" x14ac:dyDescent="0.3">
      <c r="A768" t="s">
        <v>366</v>
      </c>
      <c r="B768" s="1">
        <v>45113</v>
      </c>
      <c r="C768" t="s">
        <v>367</v>
      </c>
      <c r="D768" t="s">
        <v>16</v>
      </c>
      <c r="E768" t="s">
        <v>26</v>
      </c>
      <c r="F768" t="s">
        <v>34</v>
      </c>
      <c r="G768" t="s">
        <v>35</v>
      </c>
      <c r="H768" t="s">
        <v>36</v>
      </c>
      <c r="I768" t="s">
        <v>43</v>
      </c>
      <c r="J768" t="s">
        <v>64</v>
      </c>
      <c r="K768" s="2">
        <v>31900.06</v>
      </c>
      <c r="L768" s="4">
        <v>4</v>
      </c>
      <c r="M768" s="3">
        <v>0.04</v>
      </c>
      <c r="N768" s="2">
        <v>2552</v>
      </c>
    </row>
    <row r="769" spans="1:14" x14ac:dyDescent="0.3">
      <c r="A769" t="s">
        <v>1031</v>
      </c>
      <c r="B769" s="1">
        <v>45113</v>
      </c>
      <c r="C769" t="s">
        <v>178</v>
      </c>
      <c r="D769" t="s">
        <v>50</v>
      </c>
      <c r="E769" t="s">
        <v>26</v>
      </c>
      <c r="F769" t="s">
        <v>40</v>
      </c>
      <c r="G769" t="s">
        <v>41</v>
      </c>
      <c r="H769" t="s">
        <v>42</v>
      </c>
      <c r="I769" t="s">
        <v>29</v>
      </c>
      <c r="J769" t="s">
        <v>58</v>
      </c>
      <c r="K769" s="2">
        <v>24896.09</v>
      </c>
      <c r="L769" s="4">
        <v>2</v>
      </c>
      <c r="M769" s="3">
        <v>0.28000000000000003</v>
      </c>
      <c r="N769" s="2">
        <v>-995.84</v>
      </c>
    </row>
    <row r="770" spans="1:14" x14ac:dyDescent="0.3">
      <c r="A770" t="s">
        <v>1053</v>
      </c>
      <c r="B770" s="1">
        <v>45113</v>
      </c>
      <c r="C770" t="s">
        <v>501</v>
      </c>
      <c r="D770" t="s">
        <v>33</v>
      </c>
      <c r="E770" t="s">
        <v>17</v>
      </c>
      <c r="F770" t="s">
        <v>40</v>
      </c>
      <c r="G770" t="s">
        <v>41</v>
      </c>
      <c r="H770" t="s">
        <v>42</v>
      </c>
      <c r="I770" t="s">
        <v>21</v>
      </c>
      <c r="J770" t="s">
        <v>30</v>
      </c>
      <c r="K770" s="2">
        <v>11096.96</v>
      </c>
      <c r="L770" s="4">
        <v>5</v>
      </c>
      <c r="M770" s="3">
        <v>0.01</v>
      </c>
      <c r="N770" s="2">
        <v>1054.21</v>
      </c>
    </row>
    <row r="771" spans="1:14" x14ac:dyDescent="0.3">
      <c r="A771" t="s">
        <v>1153</v>
      </c>
      <c r="B771" s="1">
        <v>45113</v>
      </c>
      <c r="C771" t="s">
        <v>1154</v>
      </c>
      <c r="D771" t="s">
        <v>57</v>
      </c>
      <c r="E771" t="s">
        <v>51</v>
      </c>
      <c r="F771" t="s">
        <v>27</v>
      </c>
      <c r="G771" t="s">
        <v>28</v>
      </c>
      <c r="H771" t="s">
        <v>20</v>
      </c>
      <c r="I771" t="s">
        <v>29</v>
      </c>
      <c r="J771" t="s">
        <v>37</v>
      </c>
      <c r="K771" s="2">
        <v>4278.07</v>
      </c>
      <c r="L771" s="4">
        <v>6</v>
      </c>
      <c r="M771" s="3">
        <v>0.08</v>
      </c>
      <c r="N771" s="2">
        <v>256.68</v>
      </c>
    </row>
    <row r="772" spans="1:14" x14ac:dyDescent="0.3">
      <c r="A772" t="s">
        <v>582</v>
      </c>
      <c r="B772" s="1">
        <v>45114</v>
      </c>
      <c r="C772" t="s">
        <v>583</v>
      </c>
      <c r="D772" t="s">
        <v>25</v>
      </c>
      <c r="E772" t="s">
        <v>51</v>
      </c>
      <c r="F772" t="s">
        <v>40</v>
      </c>
      <c r="G772" t="s">
        <v>41</v>
      </c>
      <c r="H772" t="s">
        <v>42</v>
      </c>
      <c r="I772" t="s">
        <v>43</v>
      </c>
      <c r="J772" t="s">
        <v>22</v>
      </c>
      <c r="K772" s="2">
        <v>48521.23</v>
      </c>
      <c r="L772" s="4">
        <v>8</v>
      </c>
      <c r="M772" s="3">
        <v>7.0000000000000007E-2</v>
      </c>
      <c r="N772" s="2">
        <v>3153.88</v>
      </c>
    </row>
    <row r="773" spans="1:14" x14ac:dyDescent="0.3">
      <c r="A773" t="s">
        <v>623</v>
      </c>
      <c r="B773" s="1">
        <v>45114</v>
      </c>
      <c r="C773" t="s">
        <v>624</v>
      </c>
      <c r="D773" t="s">
        <v>33</v>
      </c>
      <c r="E773" t="s">
        <v>26</v>
      </c>
      <c r="F773" t="s">
        <v>79</v>
      </c>
      <c r="G773" t="s">
        <v>80</v>
      </c>
      <c r="H773" t="s">
        <v>47</v>
      </c>
      <c r="I773" t="s">
        <v>21</v>
      </c>
      <c r="J773" t="s">
        <v>64</v>
      </c>
      <c r="K773" s="2">
        <v>45489.599999999999</v>
      </c>
      <c r="L773" s="4">
        <v>2</v>
      </c>
      <c r="M773" s="3">
        <v>0.06</v>
      </c>
      <c r="N773" s="2">
        <v>3184.27</v>
      </c>
    </row>
    <row r="774" spans="1:14" x14ac:dyDescent="0.3">
      <c r="A774" t="s">
        <v>1055</v>
      </c>
      <c r="B774" s="1">
        <v>45114</v>
      </c>
      <c r="C774" t="s">
        <v>1056</v>
      </c>
      <c r="D774" t="s">
        <v>61</v>
      </c>
      <c r="E774" t="s">
        <v>51</v>
      </c>
      <c r="F774" t="s">
        <v>79</v>
      </c>
      <c r="G774" t="s">
        <v>80</v>
      </c>
      <c r="H774" t="s">
        <v>47</v>
      </c>
      <c r="I774" t="s">
        <v>29</v>
      </c>
      <c r="J774" t="s">
        <v>37</v>
      </c>
      <c r="K774" s="2">
        <v>41714.480000000003</v>
      </c>
      <c r="L774" s="4">
        <v>5</v>
      </c>
      <c r="M774" s="3">
        <v>0.19</v>
      </c>
      <c r="N774" s="2">
        <v>208.57</v>
      </c>
    </row>
    <row r="775" spans="1:14" x14ac:dyDescent="0.3">
      <c r="A775" t="s">
        <v>1180</v>
      </c>
      <c r="B775" s="1">
        <v>45114</v>
      </c>
      <c r="C775" t="s">
        <v>1181</v>
      </c>
      <c r="D775" t="s">
        <v>61</v>
      </c>
      <c r="E775" t="s">
        <v>17</v>
      </c>
      <c r="F775" t="s">
        <v>18</v>
      </c>
      <c r="G775" t="s">
        <v>19</v>
      </c>
      <c r="H775" t="s">
        <v>20</v>
      </c>
      <c r="I775" t="s">
        <v>21</v>
      </c>
      <c r="J775" t="s">
        <v>37</v>
      </c>
      <c r="K775" s="2">
        <v>37638.160000000003</v>
      </c>
      <c r="L775" s="4">
        <v>9</v>
      </c>
      <c r="M775" s="3">
        <v>0</v>
      </c>
      <c r="N775" s="2">
        <v>3763.82</v>
      </c>
    </row>
    <row r="776" spans="1:14" x14ac:dyDescent="0.3">
      <c r="A776" t="s">
        <v>1236</v>
      </c>
      <c r="B776" s="1">
        <v>45114</v>
      </c>
      <c r="C776" t="s">
        <v>1237</v>
      </c>
      <c r="D776" t="s">
        <v>57</v>
      </c>
      <c r="E776" t="s">
        <v>26</v>
      </c>
      <c r="F776" t="s">
        <v>34</v>
      </c>
      <c r="G776" t="s">
        <v>35</v>
      </c>
      <c r="H776" t="s">
        <v>36</v>
      </c>
      <c r="I776" t="s">
        <v>43</v>
      </c>
      <c r="J776" t="s">
        <v>106</v>
      </c>
      <c r="K776" s="2">
        <v>27484.14</v>
      </c>
      <c r="L776" s="4">
        <v>5</v>
      </c>
      <c r="M776" s="3">
        <v>0.26</v>
      </c>
      <c r="N776" s="2">
        <v>-824.52</v>
      </c>
    </row>
    <row r="777" spans="1:14" x14ac:dyDescent="0.3">
      <c r="A777" t="s">
        <v>483</v>
      </c>
      <c r="B777" s="1">
        <v>45114</v>
      </c>
      <c r="C777" t="s">
        <v>484</v>
      </c>
      <c r="D777" t="s">
        <v>61</v>
      </c>
      <c r="E777" t="s">
        <v>51</v>
      </c>
      <c r="F777" t="s">
        <v>18</v>
      </c>
      <c r="G777" t="s">
        <v>19</v>
      </c>
      <c r="H777" t="s">
        <v>20</v>
      </c>
      <c r="I777" t="s">
        <v>43</v>
      </c>
      <c r="J777" t="s">
        <v>30</v>
      </c>
      <c r="K777" s="2">
        <v>664.91</v>
      </c>
      <c r="L777" s="4">
        <v>4</v>
      </c>
      <c r="M777" s="3">
        <v>0.09</v>
      </c>
      <c r="N777" s="2">
        <v>36.57</v>
      </c>
    </row>
    <row r="778" spans="1:14" x14ac:dyDescent="0.3">
      <c r="A778" t="s">
        <v>905</v>
      </c>
      <c r="B778" s="1">
        <v>45114</v>
      </c>
      <c r="C778" t="s">
        <v>906</v>
      </c>
      <c r="D778" t="s">
        <v>57</v>
      </c>
      <c r="E778" t="s">
        <v>26</v>
      </c>
      <c r="F778" t="s">
        <v>46</v>
      </c>
      <c r="G778" t="s">
        <v>46</v>
      </c>
      <c r="H778" t="s">
        <v>47</v>
      </c>
      <c r="I778" t="s">
        <v>29</v>
      </c>
      <c r="J778" t="s">
        <v>106</v>
      </c>
      <c r="K778" s="2">
        <v>46249.99</v>
      </c>
      <c r="L778" s="4">
        <v>7</v>
      </c>
      <c r="M778" s="3">
        <v>0.16</v>
      </c>
      <c r="N778" s="2">
        <v>925</v>
      </c>
    </row>
    <row r="779" spans="1:14" x14ac:dyDescent="0.3">
      <c r="A779" t="s">
        <v>961</v>
      </c>
      <c r="B779" s="1">
        <v>45114</v>
      </c>
      <c r="C779" t="s">
        <v>962</v>
      </c>
      <c r="D779" t="s">
        <v>61</v>
      </c>
      <c r="E779" t="s">
        <v>17</v>
      </c>
      <c r="F779" t="s">
        <v>40</v>
      </c>
      <c r="G779" t="s">
        <v>41</v>
      </c>
      <c r="H779" t="s">
        <v>42</v>
      </c>
      <c r="I779" t="s">
        <v>21</v>
      </c>
      <c r="J779" t="s">
        <v>64</v>
      </c>
      <c r="K779" s="2">
        <v>15657.97</v>
      </c>
      <c r="L779" s="4">
        <v>5</v>
      </c>
      <c r="M779" s="3">
        <v>0.27</v>
      </c>
      <c r="N779" s="2">
        <v>-548.03</v>
      </c>
    </row>
    <row r="780" spans="1:14" x14ac:dyDescent="0.3">
      <c r="A780" t="s">
        <v>1695</v>
      </c>
      <c r="B780" s="1">
        <v>45114</v>
      </c>
      <c r="C780" t="s">
        <v>1269</v>
      </c>
      <c r="D780" t="s">
        <v>25</v>
      </c>
      <c r="E780" t="s">
        <v>17</v>
      </c>
      <c r="F780" t="s">
        <v>79</v>
      </c>
      <c r="G780" t="s">
        <v>80</v>
      </c>
      <c r="H780" t="s">
        <v>47</v>
      </c>
      <c r="I780" t="s">
        <v>43</v>
      </c>
      <c r="J780" t="s">
        <v>106</v>
      </c>
      <c r="K780" s="2">
        <v>8216.61</v>
      </c>
      <c r="L780" s="4">
        <v>10</v>
      </c>
      <c r="M780" s="3">
        <v>0.22</v>
      </c>
      <c r="N780" s="2">
        <v>-82.17</v>
      </c>
    </row>
    <row r="781" spans="1:14" x14ac:dyDescent="0.3">
      <c r="A781" t="s">
        <v>514</v>
      </c>
      <c r="B781" s="1">
        <v>45115</v>
      </c>
      <c r="C781" t="s">
        <v>515</v>
      </c>
      <c r="D781" t="s">
        <v>61</v>
      </c>
      <c r="E781" t="s">
        <v>51</v>
      </c>
      <c r="F781" t="s">
        <v>46</v>
      </c>
      <c r="G781" t="s">
        <v>46</v>
      </c>
      <c r="H781" t="s">
        <v>47</v>
      </c>
      <c r="I781" t="s">
        <v>21</v>
      </c>
      <c r="J781" t="s">
        <v>64</v>
      </c>
      <c r="K781" s="2">
        <v>14180.69</v>
      </c>
      <c r="L781" s="4">
        <v>7</v>
      </c>
      <c r="M781" s="3">
        <v>0.2</v>
      </c>
      <c r="N781" s="2">
        <v>0</v>
      </c>
    </row>
    <row r="782" spans="1:14" x14ac:dyDescent="0.3">
      <c r="A782" t="s">
        <v>653</v>
      </c>
      <c r="B782" s="1">
        <v>45115</v>
      </c>
      <c r="C782" t="s">
        <v>210</v>
      </c>
      <c r="D782" t="s">
        <v>33</v>
      </c>
      <c r="E782" t="s">
        <v>17</v>
      </c>
      <c r="F782" t="s">
        <v>27</v>
      </c>
      <c r="G782" t="s">
        <v>28</v>
      </c>
      <c r="H782" t="s">
        <v>20</v>
      </c>
      <c r="I782" t="s">
        <v>43</v>
      </c>
      <c r="J782" t="s">
        <v>54</v>
      </c>
      <c r="K782" s="2">
        <v>25216.79</v>
      </c>
      <c r="L782" s="4">
        <v>9</v>
      </c>
      <c r="M782" s="3">
        <v>0.18</v>
      </c>
      <c r="N782" s="2">
        <v>252.17</v>
      </c>
    </row>
    <row r="783" spans="1:14" x14ac:dyDescent="0.3">
      <c r="A783" t="s">
        <v>762</v>
      </c>
      <c r="B783" s="1">
        <v>45115</v>
      </c>
      <c r="C783" t="s">
        <v>361</v>
      </c>
      <c r="D783" t="s">
        <v>33</v>
      </c>
      <c r="E783" t="s">
        <v>17</v>
      </c>
      <c r="F783" t="s">
        <v>46</v>
      </c>
      <c r="G783" t="s">
        <v>46</v>
      </c>
      <c r="H783" t="s">
        <v>47</v>
      </c>
      <c r="I783" t="s">
        <v>29</v>
      </c>
      <c r="J783" t="s">
        <v>58</v>
      </c>
      <c r="K783" s="2">
        <v>25765.09</v>
      </c>
      <c r="L783" s="4">
        <v>8</v>
      </c>
      <c r="M783" s="3">
        <v>0.28999999999999998</v>
      </c>
      <c r="N783" s="2">
        <v>-1159.43</v>
      </c>
    </row>
    <row r="784" spans="1:14" x14ac:dyDescent="0.3">
      <c r="A784" t="s">
        <v>1841</v>
      </c>
      <c r="B784" s="1">
        <v>45115</v>
      </c>
      <c r="C784" t="s">
        <v>950</v>
      </c>
      <c r="D784" t="s">
        <v>25</v>
      </c>
      <c r="E784" t="s">
        <v>17</v>
      </c>
      <c r="F784" t="s">
        <v>34</v>
      </c>
      <c r="G784" t="s">
        <v>35</v>
      </c>
      <c r="H784" t="s">
        <v>36</v>
      </c>
      <c r="I784" t="s">
        <v>21</v>
      </c>
      <c r="J784" t="s">
        <v>106</v>
      </c>
      <c r="K784" s="2">
        <v>5879.89</v>
      </c>
      <c r="L784" s="4">
        <v>7</v>
      </c>
      <c r="M784" s="3">
        <v>0.16</v>
      </c>
      <c r="N784" s="2">
        <v>117.6</v>
      </c>
    </row>
    <row r="785" spans="1:14" x14ac:dyDescent="0.3">
      <c r="A785" t="s">
        <v>1914</v>
      </c>
      <c r="B785" s="1">
        <v>45115</v>
      </c>
      <c r="C785" t="s">
        <v>1915</v>
      </c>
      <c r="D785" t="s">
        <v>16</v>
      </c>
      <c r="E785" t="s">
        <v>26</v>
      </c>
      <c r="F785" t="s">
        <v>40</v>
      </c>
      <c r="G785" t="s">
        <v>41</v>
      </c>
      <c r="H785" t="s">
        <v>42</v>
      </c>
      <c r="I785" t="s">
        <v>21</v>
      </c>
      <c r="J785" t="s">
        <v>58</v>
      </c>
      <c r="K785" s="2">
        <v>13345.65</v>
      </c>
      <c r="L785" s="4">
        <v>8</v>
      </c>
      <c r="M785" s="3">
        <v>0.2</v>
      </c>
      <c r="N785" s="2">
        <v>0</v>
      </c>
    </row>
    <row r="786" spans="1:14" x14ac:dyDescent="0.3">
      <c r="A786" t="s">
        <v>2061</v>
      </c>
      <c r="B786" s="1">
        <v>45115</v>
      </c>
      <c r="C786" t="s">
        <v>233</v>
      </c>
      <c r="D786" t="s">
        <v>25</v>
      </c>
      <c r="E786" t="s">
        <v>51</v>
      </c>
      <c r="F786" t="s">
        <v>79</v>
      </c>
      <c r="G786" t="s">
        <v>80</v>
      </c>
      <c r="H786" t="s">
        <v>47</v>
      </c>
      <c r="I786" t="s">
        <v>21</v>
      </c>
      <c r="J786" t="s">
        <v>37</v>
      </c>
      <c r="K786" s="2">
        <v>19736.34</v>
      </c>
      <c r="L786" s="4">
        <v>3</v>
      </c>
      <c r="M786" s="3">
        <v>0.18</v>
      </c>
      <c r="N786" s="2">
        <v>197.36</v>
      </c>
    </row>
    <row r="787" spans="1:14" x14ac:dyDescent="0.3">
      <c r="A787" t="s">
        <v>1006</v>
      </c>
      <c r="B787" s="1">
        <v>45115</v>
      </c>
      <c r="C787" t="s">
        <v>643</v>
      </c>
      <c r="D787" t="s">
        <v>50</v>
      </c>
      <c r="E787" t="s">
        <v>26</v>
      </c>
      <c r="F787" t="s">
        <v>40</v>
      </c>
      <c r="G787" t="s">
        <v>41</v>
      </c>
      <c r="H787" t="s">
        <v>42</v>
      </c>
      <c r="I787" t="s">
        <v>29</v>
      </c>
      <c r="J787" t="s">
        <v>22</v>
      </c>
      <c r="K787" s="2">
        <v>24698.67</v>
      </c>
      <c r="L787" s="4">
        <v>9</v>
      </c>
      <c r="M787" s="3">
        <v>0.1</v>
      </c>
      <c r="N787" s="2">
        <v>1234.93</v>
      </c>
    </row>
    <row r="788" spans="1:14" x14ac:dyDescent="0.3">
      <c r="A788" t="s">
        <v>2121</v>
      </c>
      <c r="B788" s="1">
        <v>45116</v>
      </c>
      <c r="C788" t="s">
        <v>188</v>
      </c>
      <c r="D788" t="s">
        <v>50</v>
      </c>
      <c r="E788" t="s">
        <v>51</v>
      </c>
      <c r="F788" t="s">
        <v>18</v>
      </c>
      <c r="G788" t="s">
        <v>19</v>
      </c>
      <c r="H788" t="s">
        <v>20</v>
      </c>
      <c r="I788" t="s">
        <v>21</v>
      </c>
      <c r="J788" t="s">
        <v>64</v>
      </c>
      <c r="K788" s="2">
        <v>22973.46</v>
      </c>
      <c r="L788" s="4">
        <v>1</v>
      </c>
      <c r="M788" s="3">
        <v>0.28000000000000003</v>
      </c>
      <c r="N788" s="2">
        <v>-918.94</v>
      </c>
    </row>
    <row r="789" spans="1:14" x14ac:dyDescent="0.3">
      <c r="A789" t="s">
        <v>2011</v>
      </c>
      <c r="B789" s="1">
        <v>45116</v>
      </c>
      <c r="C789" t="s">
        <v>180</v>
      </c>
      <c r="D789" t="s">
        <v>16</v>
      </c>
      <c r="E789" t="s">
        <v>51</v>
      </c>
      <c r="F789" t="s">
        <v>34</v>
      </c>
      <c r="G789" t="s">
        <v>35</v>
      </c>
      <c r="H789" t="s">
        <v>36</v>
      </c>
      <c r="I789" t="s">
        <v>21</v>
      </c>
      <c r="J789" t="s">
        <v>37</v>
      </c>
      <c r="K789" s="2">
        <v>35936.29</v>
      </c>
      <c r="L789" s="4">
        <v>7</v>
      </c>
      <c r="M789" s="3">
        <v>0.08</v>
      </c>
      <c r="N789" s="2">
        <v>2156.1799999999998</v>
      </c>
    </row>
    <row r="790" spans="1:14" x14ac:dyDescent="0.3">
      <c r="A790" t="s">
        <v>2172</v>
      </c>
      <c r="B790" s="1">
        <v>45116</v>
      </c>
      <c r="C790" t="s">
        <v>1823</v>
      </c>
      <c r="D790" t="s">
        <v>50</v>
      </c>
      <c r="E790" t="s">
        <v>26</v>
      </c>
      <c r="F790" t="s">
        <v>34</v>
      </c>
      <c r="G790" t="s">
        <v>35</v>
      </c>
      <c r="H790" t="s">
        <v>36</v>
      </c>
      <c r="I790" t="s">
        <v>29</v>
      </c>
      <c r="J790" t="s">
        <v>58</v>
      </c>
      <c r="K790" s="2">
        <v>3545.92</v>
      </c>
      <c r="L790" s="4">
        <v>7</v>
      </c>
      <c r="M790" s="3">
        <v>0.26</v>
      </c>
      <c r="N790" s="2">
        <v>-106.38</v>
      </c>
    </row>
    <row r="791" spans="1:14" x14ac:dyDescent="0.3">
      <c r="A791" t="s">
        <v>859</v>
      </c>
      <c r="B791" s="1">
        <v>45117</v>
      </c>
      <c r="C791" t="s">
        <v>860</v>
      </c>
      <c r="D791" t="s">
        <v>50</v>
      </c>
      <c r="E791" t="s">
        <v>26</v>
      </c>
      <c r="F791" t="s">
        <v>46</v>
      </c>
      <c r="G791" t="s">
        <v>46</v>
      </c>
      <c r="H791" t="s">
        <v>47</v>
      </c>
      <c r="I791" t="s">
        <v>29</v>
      </c>
      <c r="J791" t="s">
        <v>22</v>
      </c>
      <c r="K791" s="2">
        <v>36956.49</v>
      </c>
      <c r="L791" s="4">
        <v>6</v>
      </c>
      <c r="M791" s="3">
        <v>0.13</v>
      </c>
      <c r="N791" s="2">
        <v>1293.48</v>
      </c>
    </row>
    <row r="792" spans="1:14" x14ac:dyDescent="0.3">
      <c r="A792" t="s">
        <v>1635</v>
      </c>
      <c r="B792" s="1">
        <v>45117</v>
      </c>
      <c r="C792" t="s">
        <v>227</v>
      </c>
      <c r="D792" t="s">
        <v>50</v>
      </c>
      <c r="E792" t="s">
        <v>51</v>
      </c>
      <c r="F792" t="s">
        <v>34</v>
      </c>
      <c r="G792" t="s">
        <v>35</v>
      </c>
      <c r="H792" t="s">
        <v>36</v>
      </c>
      <c r="I792" t="s">
        <v>21</v>
      </c>
      <c r="J792" t="s">
        <v>58</v>
      </c>
      <c r="K792" s="2">
        <v>37602.32</v>
      </c>
      <c r="L792" s="4">
        <v>6</v>
      </c>
      <c r="M792" s="3">
        <v>0.17</v>
      </c>
      <c r="N792" s="2">
        <v>564.03</v>
      </c>
    </row>
    <row r="793" spans="1:14" x14ac:dyDescent="0.3">
      <c r="A793" t="s">
        <v>1661</v>
      </c>
      <c r="B793" s="1">
        <v>45117</v>
      </c>
      <c r="C793" t="s">
        <v>1662</v>
      </c>
      <c r="D793" t="s">
        <v>16</v>
      </c>
      <c r="E793" t="s">
        <v>17</v>
      </c>
      <c r="F793" t="s">
        <v>46</v>
      </c>
      <c r="G793" t="s">
        <v>46</v>
      </c>
      <c r="H793" t="s">
        <v>47</v>
      </c>
      <c r="I793" t="s">
        <v>43</v>
      </c>
      <c r="J793" t="s">
        <v>106</v>
      </c>
      <c r="K793" s="2">
        <v>10615.38</v>
      </c>
      <c r="L793" s="4">
        <v>5</v>
      </c>
      <c r="M793" s="3">
        <v>0.15</v>
      </c>
      <c r="N793" s="2">
        <v>265.38</v>
      </c>
    </row>
    <row r="794" spans="1:14" x14ac:dyDescent="0.3">
      <c r="A794" t="s">
        <v>908</v>
      </c>
      <c r="B794" s="1">
        <v>45117</v>
      </c>
      <c r="C794" t="s">
        <v>464</v>
      </c>
      <c r="D794" t="s">
        <v>61</v>
      </c>
      <c r="E794" t="s">
        <v>51</v>
      </c>
      <c r="F794" t="s">
        <v>46</v>
      </c>
      <c r="G794" t="s">
        <v>46</v>
      </c>
      <c r="H794" t="s">
        <v>47</v>
      </c>
      <c r="I794" t="s">
        <v>29</v>
      </c>
      <c r="J794" t="s">
        <v>22</v>
      </c>
      <c r="K794" s="2">
        <v>25544.36</v>
      </c>
      <c r="L794" s="4">
        <v>4</v>
      </c>
      <c r="M794" s="3">
        <v>0.26</v>
      </c>
      <c r="N794" s="2">
        <v>-766.33</v>
      </c>
    </row>
    <row r="795" spans="1:14" x14ac:dyDescent="0.3">
      <c r="A795" t="s">
        <v>1199</v>
      </c>
      <c r="B795" s="1">
        <v>45117</v>
      </c>
      <c r="C795" t="s">
        <v>122</v>
      </c>
      <c r="D795" t="s">
        <v>25</v>
      </c>
      <c r="E795" t="s">
        <v>26</v>
      </c>
      <c r="F795" t="s">
        <v>40</v>
      </c>
      <c r="G795" t="s">
        <v>41</v>
      </c>
      <c r="H795" t="s">
        <v>42</v>
      </c>
      <c r="I795" t="s">
        <v>21</v>
      </c>
      <c r="J795" t="s">
        <v>22</v>
      </c>
      <c r="K795" s="2">
        <v>10767.92</v>
      </c>
      <c r="L795" s="4">
        <v>6</v>
      </c>
      <c r="M795" s="3">
        <v>0.09</v>
      </c>
      <c r="N795" s="2">
        <v>592.24</v>
      </c>
    </row>
    <row r="796" spans="1:14" x14ac:dyDescent="0.3">
      <c r="A796" t="s">
        <v>822</v>
      </c>
      <c r="B796" s="1">
        <v>45117</v>
      </c>
      <c r="C796" t="s">
        <v>823</v>
      </c>
      <c r="D796" t="s">
        <v>61</v>
      </c>
      <c r="E796" t="s">
        <v>51</v>
      </c>
      <c r="F796" t="s">
        <v>34</v>
      </c>
      <c r="G796" t="s">
        <v>35</v>
      </c>
      <c r="H796" t="s">
        <v>36</v>
      </c>
      <c r="I796" t="s">
        <v>29</v>
      </c>
      <c r="J796" t="s">
        <v>106</v>
      </c>
      <c r="K796" s="2">
        <v>38066.94</v>
      </c>
      <c r="L796" s="4">
        <v>9</v>
      </c>
      <c r="M796" s="3">
        <v>0.3</v>
      </c>
      <c r="N796" s="2">
        <v>-1903.35</v>
      </c>
    </row>
    <row r="797" spans="1:14" x14ac:dyDescent="0.3">
      <c r="A797" t="s">
        <v>1783</v>
      </c>
      <c r="B797" s="1">
        <v>45119</v>
      </c>
      <c r="C797" t="s">
        <v>1784</v>
      </c>
      <c r="D797" t="s">
        <v>57</v>
      </c>
      <c r="E797" t="s">
        <v>26</v>
      </c>
      <c r="F797" t="s">
        <v>40</v>
      </c>
      <c r="G797" t="s">
        <v>41</v>
      </c>
      <c r="H797" t="s">
        <v>42</v>
      </c>
      <c r="I797" t="s">
        <v>21</v>
      </c>
      <c r="J797" t="s">
        <v>106</v>
      </c>
      <c r="K797" s="2">
        <v>17795.54</v>
      </c>
      <c r="L797" s="4">
        <v>1</v>
      </c>
      <c r="M797" s="3">
        <v>0.21</v>
      </c>
      <c r="N797" s="2">
        <v>-88.98</v>
      </c>
    </row>
    <row r="798" spans="1:14" x14ac:dyDescent="0.3">
      <c r="A798" t="s">
        <v>1214</v>
      </c>
      <c r="B798" s="1">
        <v>45120</v>
      </c>
      <c r="C798" t="s">
        <v>1215</v>
      </c>
      <c r="D798" t="s">
        <v>85</v>
      </c>
      <c r="E798" t="s">
        <v>26</v>
      </c>
      <c r="F798" t="s">
        <v>34</v>
      </c>
      <c r="G798" t="s">
        <v>35</v>
      </c>
      <c r="H798" t="s">
        <v>36</v>
      </c>
      <c r="I798" t="s">
        <v>21</v>
      </c>
      <c r="J798" t="s">
        <v>37</v>
      </c>
      <c r="K798" s="2">
        <v>44861.96</v>
      </c>
      <c r="L798" s="4">
        <v>3</v>
      </c>
      <c r="M798" s="3">
        <v>0.04</v>
      </c>
      <c r="N798" s="2">
        <v>3588.96</v>
      </c>
    </row>
    <row r="799" spans="1:14" x14ac:dyDescent="0.3">
      <c r="A799" t="s">
        <v>1564</v>
      </c>
      <c r="B799" s="1">
        <v>45120</v>
      </c>
      <c r="C799" t="s">
        <v>924</v>
      </c>
      <c r="D799" t="s">
        <v>85</v>
      </c>
      <c r="E799" t="s">
        <v>26</v>
      </c>
      <c r="F799" t="s">
        <v>40</v>
      </c>
      <c r="G799" t="s">
        <v>41</v>
      </c>
      <c r="H799" t="s">
        <v>42</v>
      </c>
      <c r="I799" t="s">
        <v>29</v>
      </c>
      <c r="J799" t="s">
        <v>64</v>
      </c>
      <c r="K799" s="2">
        <v>12875.87</v>
      </c>
      <c r="L799" s="4">
        <v>6</v>
      </c>
      <c r="M799" s="3">
        <v>0.05</v>
      </c>
      <c r="N799" s="2">
        <v>965.69</v>
      </c>
    </row>
    <row r="800" spans="1:14" x14ac:dyDescent="0.3">
      <c r="A800" t="s">
        <v>775</v>
      </c>
      <c r="B800" s="1">
        <v>45120</v>
      </c>
      <c r="C800" t="s">
        <v>776</v>
      </c>
      <c r="D800" t="s">
        <v>61</v>
      </c>
      <c r="E800" t="s">
        <v>17</v>
      </c>
      <c r="F800" t="s">
        <v>79</v>
      </c>
      <c r="G800" t="s">
        <v>80</v>
      </c>
      <c r="H800" t="s">
        <v>47</v>
      </c>
      <c r="I800" t="s">
        <v>21</v>
      </c>
      <c r="J800" t="s">
        <v>106</v>
      </c>
      <c r="K800" s="2">
        <v>24692.71</v>
      </c>
      <c r="L800" s="4">
        <v>6</v>
      </c>
      <c r="M800" s="3">
        <v>0.09</v>
      </c>
      <c r="N800" s="2">
        <v>1358.1</v>
      </c>
    </row>
    <row r="801" spans="1:14" x14ac:dyDescent="0.3">
      <c r="A801" t="s">
        <v>1158</v>
      </c>
      <c r="B801" s="1">
        <v>45120</v>
      </c>
      <c r="C801" t="s">
        <v>1159</v>
      </c>
      <c r="D801" t="s">
        <v>57</v>
      </c>
      <c r="E801" t="s">
        <v>26</v>
      </c>
      <c r="F801" t="s">
        <v>18</v>
      </c>
      <c r="G801" t="s">
        <v>19</v>
      </c>
      <c r="H801" t="s">
        <v>20</v>
      </c>
      <c r="I801" t="s">
        <v>29</v>
      </c>
      <c r="J801" t="s">
        <v>30</v>
      </c>
      <c r="K801" s="2">
        <v>3217.81</v>
      </c>
      <c r="L801" s="4">
        <v>8</v>
      </c>
      <c r="M801" s="3">
        <v>0.16</v>
      </c>
      <c r="N801" s="2">
        <v>64.36</v>
      </c>
    </row>
    <row r="802" spans="1:14" x14ac:dyDescent="0.3">
      <c r="A802" t="s">
        <v>1753</v>
      </c>
      <c r="B802" s="1">
        <v>45120</v>
      </c>
      <c r="C802" t="s">
        <v>799</v>
      </c>
      <c r="D802" t="s">
        <v>57</v>
      </c>
      <c r="E802" t="s">
        <v>26</v>
      </c>
      <c r="F802" t="s">
        <v>27</v>
      </c>
      <c r="G802" t="s">
        <v>28</v>
      </c>
      <c r="H802" t="s">
        <v>20</v>
      </c>
      <c r="I802" t="s">
        <v>43</v>
      </c>
      <c r="J802" t="s">
        <v>30</v>
      </c>
      <c r="K802" s="2">
        <v>30362.9</v>
      </c>
      <c r="L802" s="4">
        <v>4</v>
      </c>
      <c r="M802" s="3">
        <v>0.08</v>
      </c>
      <c r="N802" s="2">
        <v>1821.77</v>
      </c>
    </row>
    <row r="803" spans="1:14" x14ac:dyDescent="0.3">
      <c r="A803" t="s">
        <v>596</v>
      </c>
      <c r="B803" s="1">
        <v>45121</v>
      </c>
      <c r="C803" t="s">
        <v>597</v>
      </c>
      <c r="D803" t="s">
        <v>25</v>
      </c>
      <c r="E803" t="s">
        <v>51</v>
      </c>
      <c r="F803" t="s">
        <v>27</v>
      </c>
      <c r="G803" t="s">
        <v>28</v>
      </c>
      <c r="H803" t="s">
        <v>20</v>
      </c>
      <c r="I803" t="s">
        <v>43</v>
      </c>
      <c r="J803" t="s">
        <v>58</v>
      </c>
      <c r="K803" s="2">
        <v>45709.83</v>
      </c>
      <c r="L803" s="4">
        <v>8</v>
      </c>
      <c r="M803" s="3">
        <v>0.18</v>
      </c>
      <c r="N803" s="2">
        <v>457.1</v>
      </c>
    </row>
    <row r="804" spans="1:14" x14ac:dyDescent="0.3">
      <c r="A804" t="s">
        <v>1386</v>
      </c>
      <c r="B804" s="1">
        <v>45121</v>
      </c>
      <c r="C804" t="s">
        <v>1127</v>
      </c>
      <c r="D804" t="s">
        <v>85</v>
      </c>
      <c r="E804" t="s">
        <v>17</v>
      </c>
      <c r="F804" t="s">
        <v>34</v>
      </c>
      <c r="G804" t="s">
        <v>35</v>
      </c>
      <c r="H804" t="s">
        <v>36</v>
      </c>
      <c r="I804" t="s">
        <v>29</v>
      </c>
      <c r="J804" t="s">
        <v>54</v>
      </c>
      <c r="K804" s="2">
        <v>4947.21</v>
      </c>
      <c r="L804" s="4">
        <v>7</v>
      </c>
      <c r="M804" s="3">
        <v>0.09</v>
      </c>
      <c r="N804" s="2">
        <v>272.10000000000002</v>
      </c>
    </row>
    <row r="805" spans="1:14" x14ac:dyDescent="0.3">
      <c r="A805" t="s">
        <v>1478</v>
      </c>
      <c r="B805" s="1">
        <v>45121</v>
      </c>
      <c r="C805" t="s">
        <v>1479</v>
      </c>
      <c r="D805" t="s">
        <v>50</v>
      </c>
      <c r="E805" t="s">
        <v>17</v>
      </c>
      <c r="F805" t="s">
        <v>46</v>
      </c>
      <c r="G805" t="s">
        <v>46</v>
      </c>
      <c r="H805" t="s">
        <v>47</v>
      </c>
      <c r="I805" t="s">
        <v>29</v>
      </c>
      <c r="J805" t="s">
        <v>30</v>
      </c>
      <c r="K805" s="2">
        <v>8626.16</v>
      </c>
      <c r="L805" s="4">
        <v>8</v>
      </c>
      <c r="M805" s="3">
        <v>0.28000000000000003</v>
      </c>
      <c r="N805" s="2">
        <v>-345.05</v>
      </c>
    </row>
    <row r="806" spans="1:14" x14ac:dyDescent="0.3">
      <c r="A806" t="s">
        <v>1523</v>
      </c>
      <c r="B806" s="1">
        <v>45121</v>
      </c>
      <c r="C806" t="s">
        <v>1524</v>
      </c>
      <c r="D806" t="s">
        <v>85</v>
      </c>
      <c r="E806" t="s">
        <v>26</v>
      </c>
      <c r="F806" t="s">
        <v>34</v>
      </c>
      <c r="G806" t="s">
        <v>35</v>
      </c>
      <c r="H806" t="s">
        <v>36</v>
      </c>
      <c r="I806" t="s">
        <v>21</v>
      </c>
      <c r="J806" t="s">
        <v>58</v>
      </c>
      <c r="K806" s="2">
        <v>30027.69</v>
      </c>
      <c r="L806" s="4">
        <v>8</v>
      </c>
      <c r="M806" s="3">
        <v>0.24</v>
      </c>
      <c r="N806" s="2">
        <v>-600.54999999999995</v>
      </c>
    </row>
    <row r="807" spans="1:14" x14ac:dyDescent="0.3">
      <c r="A807" t="s">
        <v>2164</v>
      </c>
      <c r="B807" s="1">
        <v>45121</v>
      </c>
      <c r="C807" t="s">
        <v>2165</v>
      </c>
      <c r="D807" t="s">
        <v>61</v>
      </c>
      <c r="E807" t="s">
        <v>17</v>
      </c>
      <c r="F807" t="s">
        <v>40</v>
      </c>
      <c r="G807" t="s">
        <v>41</v>
      </c>
      <c r="H807" t="s">
        <v>42</v>
      </c>
      <c r="I807" t="s">
        <v>21</v>
      </c>
      <c r="J807" t="s">
        <v>58</v>
      </c>
      <c r="K807" s="2">
        <v>4492.72</v>
      </c>
      <c r="L807" s="4">
        <v>9</v>
      </c>
      <c r="M807" s="3">
        <v>0.23</v>
      </c>
      <c r="N807" s="2">
        <v>-67.39</v>
      </c>
    </row>
    <row r="808" spans="1:14" x14ac:dyDescent="0.3">
      <c r="A808" t="s">
        <v>1731</v>
      </c>
      <c r="B808" s="1">
        <v>45121</v>
      </c>
      <c r="C808" t="s">
        <v>1192</v>
      </c>
      <c r="D808" t="s">
        <v>50</v>
      </c>
      <c r="E808" t="s">
        <v>26</v>
      </c>
      <c r="F808" t="s">
        <v>40</v>
      </c>
      <c r="G808" t="s">
        <v>41</v>
      </c>
      <c r="H808" t="s">
        <v>42</v>
      </c>
      <c r="I808" t="s">
        <v>29</v>
      </c>
      <c r="J808" t="s">
        <v>30</v>
      </c>
      <c r="K808" s="2">
        <v>36681.519999999997</v>
      </c>
      <c r="L808" s="4">
        <v>4</v>
      </c>
      <c r="M808" s="3">
        <v>0.02</v>
      </c>
      <c r="N808" s="2">
        <v>3301.34</v>
      </c>
    </row>
    <row r="809" spans="1:14" x14ac:dyDescent="0.3">
      <c r="A809" t="s">
        <v>1116</v>
      </c>
      <c r="B809" s="1">
        <v>45121</v>
      </c>
      <c r="C809" t="s">
        <v>1117</v>
      </c>
      <c r="D809" t="s">
        <v>61</v>
      </c>
      <c r="E809" t="s">
        <v>26</v>
      </c>
      <c r="F809" t="s">
        <v>34</v>
      </c>
      <c r="G809" t="s">
        <v>35</v>
      </c>
      <c r="H809" t="s">
        <v>36</v>
      </c>
      <c r="I809" t="s">
        <v>43</v>
      </c>
      <c r="J809" t="s">
        <v>106</v>
      </c>
      <c r="K809" s="2">
        <v>38690.54</v>
      </c>
      <c r="L809" s="4">
        <v>7</v>
      </c>
      <c r="M809" s="3">
        <v>0.11</v>
      </c>
      <c r="N809" s="2">
        <v>1741.07</v>
      </c>
    </row>
    <row r="810" spans="1:14" x14ac:dyDescent="0.3">
      <c r="A810" t="s">
        <v>2264</v>
      </c>
      <c r="B810" s="1">
        <v>45122</v>
      </c>
      <c r="C810" t="s">
        <v>441</v>
      </c>
      <c r="D810" t="s">
        <v>33</v>
      </c>
      <c r="E810" t="s">
        <v>51</v>
      </c>
      <c r="F810" t="s">
        <v>79</v>
      </c>
      <c r="G810" t="s">
        <v>80</v>
      </c>
      <c r="H810" t="s">
        <v>47</v>
      </c>
      <c r="I810" t="s">
        <v>21</v>
      </c>
      <c r="J810" t="s">
        <v>37</v>
      </c>
      <c r="K810" s="2">
        <v>10860.51</v>
      </c>
      <c r="L810" s="4">
        <v>3</v>
      </c>
      <c r="M810" s="3">
        <v>0.16</v>
      </c>
      <c r="N810" s="2">
        <v>217.21</v>
      </c>
    </row>
    <row r="811" spans="1:14" x14ac:dyDescent="0.3">
      <c r="A811" t="s">
        <v>1232</v>
      </c>
      <c r="B811" s="1">
        <v>45122</v>
      </c>
      <c r="C811" t="s">
        <v>938</v>
      </c>
      <c r="D811" t="s">
        <v>57</v>
      </c>
      <c r="E811" t="s">
        <v>51</v>
      </c>
      <c r="F811" t="s">
        <v>79</v>
      </c>
      <c r="G811" t="s">
        <v>80</v>
      </c>
      <c r="H811" t="s">
        <v>47</v>
      </c>
      <c r="I811" t="s">
        <v>43</v>
      </c>
      <c r="J811" t="s">
        <v>64</v>
      </c>
      <c r="K811" s="2">
        <v>16335.01</v>
      </c>
      <c r="L811" s="4">
        <v>10</v>
      </c>
      <c r="M811" s="3">
        <v>0.21</v>
      </c>
      <c r="N811" s="2">
        <v>-81.680000000000007</v>
      </c>
    </row>
    <row r="812" spans="1:14" x14ac:dyDescent="0.3">
      <c r="A812" t="s">
        <v>287</v>
      </c>
      <c r="B812" s="1">
        <v>45122</v>
      </c>
      <c r="C812" t="s">
        <v>288</v>
      </c>
      <c r="D812" t="s">
        <v>85</v>
      </c>
      <c r="E812" t="s">
        <v>17</v>
      </c>
      <c r="F812" t="s">
        <v>40</v>
      </c>
      <c r="G812" t="s">
        <v>41</v>
      </c>
      <c r="H812" t="s">
        <v>42</v>
      </c>
      <c r="I812" t="s">
        <v>21</v>
      </c>
      <c r="J812" t="s">
        <v>30</v>
      </c>
      <c r="K812" s="2">
        <v>47196.42</v>
      </c>
      <c r="L812" s="4">
        <v>9</v>
      </c>
      <c r="M812" s="3">
        <v>0.27</v>
      </c>
      <c r="N812" s="2">
        <v>-1651.87</v>
      </c>
    </row>
    <row r="813" spans="1:14" x14ac:dyDescent="0.3">
      <c r="A813" t="s">
        <v>2195</v>
      </c>
      <c r="B813" s="1">
        <v>45122</v>
      </c>
      <c r="C813" t="s">
        <v>2196</v>
      </c>
      <c r="D813" t="s">
        <v>50</v>
      </c>
      <c r="E813" t="s">
        <v>26</v>
      </c>
      <c r="F813" t="s">
        <v>79</v>
      </c>
      <c r="G813" t="s">
        <v>80</v>
      </c>
      <c r="H813" t="s">
        <v>47</v>
      </c>
      <c r="I813" t="s">
        <v>29</v>
      </c>
      <c r="J813" t="s">
        <v>54</v>
      </c>
      <c r="K813" s="2">
        <v>26104.52</v>
      </c>
      <c r="L813" s="4">
        <v>6</v>
      </c>
      <c r="M813" s="3">
        <v>0.28999999999999998</v>
      </c>
      <c r="N813" s="2">
        <v>-1174.7</v>
      </c>
    </row>
    <row r="814" spans="1:14" x14ac:dyDescent="0.3">
      <c r="A814" t="s">
        <v>812</v>
      </c>
      <c r="B814" s="1">
        <v>45123</v>
      </c>
      <c r="C814" t="s">
        <v>484</v>
      </c>
      <c r="D814" t="s">
        <v>50</v>
      </c>
      <c r="E814" t="s">
        <v>26</v>
      </c>
      <c r="F814" t="s">
        <v>40</v>
      </c>
      <c r="G814" t="s">
        <v>41</v>
      </c>
      <c r="H814" t="s">
        <v>42</v>
      </c>
      <c r="I814" t="s">
        <v>43</v>
      </c>
      <c r="J814" t="s">
        <v>54</v>
      </c>
      <c r="K814" s="2">
        <v>9083.26</v>
      </c>
      <c r="L814" s="4">
        <v>9</v>
      </c>
      <c r="M814" s="3">
        <v>0.01</v>
      </c>
      <c r="N814" s="2">
        <v>862.91</v>
      </c>
    </row>
    <row r="815" spans="1:14" x14ac:dyDescent="0.3">
      <c r="A815" t="s">
        <v>1892</v>
      </c>
      <c r="B815" s="1">
        <v>45123</v>
      </c>
      <c r="C815" t="s">
        <v>1553</v>
      </c>
      <c r="D815" t="s">
        <v>33</v>
      </c>
      <c r="E815" t="s">
        <v>17</v>
      </c>
      <c r="F815" t="s">
        <v>34</v>
      </c>
      <c r="G815" t="s">
        <v>35</v>
      </c>
      <c r="H815" t="s">
        <v>36</v>
      </c>
      <c r="I815" t="s">
        <v>43</v>
      </c>
      <c r="J815" t="s">
        <v>37</v>
      </c>
      <c r="K815" s="2">
        <v>35427.279999999999</v>
      </c>
      <c r="L815" s="4">
        <v>8</v>
      </c>
      <c r="M815" s="3">
        <v>0.09</v>
      </c>
      <c r="N815" s="2">
        <v>1948.5</v>
      </c>
    </row>
    <row r="816" spans="1:14" x14ac:dyDescent="0.3">
      <c r="A816" t="s">
        <v>1946</v>
      </c>
      <c r="B816" s="1">
        <v>45123</v>
      </c>
      <c r="C816" t="s">
        <v>242</v>
      </c>
      <c r="D816" t="s">
        <v>57</v>
      </c>
      <c r="E816" t="s">
        <v>17</v>
      </c>
      <c r="F816" t="s">
        <v>79</v>
      </c>
      <c r="G816" t="s">
        <v>80</v>
      </c>
      <c r="H816" t="s">
        <v>47</v>
      </c>
      <c r="I816" t="s">
        <v>43</v>
      </c>
      <c r="J816" t="s">
        <v>30</v>
      </c>
      <c r="K816" s="2">
        <v>44663.23</v>
      </c>
      <c r="L816" s="4">
        <v>9</v>
      </c>
      <c r="M816" s="3">
        <v>0.28999999999999998</v>
      </c>
      <c r="N816" s="2">
        <v>-2009.85</v>
      </c>
    </row>
    <row r="817" spans="1:14" x14ac:dyDescent="0.3">
      <c r="A817" t="s">
        <v>2007</v>
      </c>
      <c r="B817" s="1">
        <v>45123</v>
      </c>
      <c r="C817" t="s">
        <v>531</v>
      </c>
      <c r="D817" t="s">
        <v>57</v>
      </c>
      <c r="E817" t="s">
        <v>26</v>
      </c>
      <c r="F817" t="s">
        <v>34</v>
      </c>
      <c r="G817" t="s">
        <v>35</v>
      </c>
      <c r="H817" t="s">
        <v>36</v>
      </c>
      <c r="I817" t="s">
        <v>21</v>
      </c>
      <c r="J817" t="s">
        <v>30</v>
      </c>
      <c r="K817" s="2">
        <v>29486.45</v>
      </c>
      <c r="L817" s="4">
        <v>5</v>
      </c>
      <c r="M817" s="3">
        <v>0.28000000000000003</v>
      </c>
      <c r="N817" s="2">
        <v>-1179.46</v>
      </c>
    </row>
    <row r="818" spans="1:14" x14ac:dyDescent="0.3">
      <c r="A818" t="s">
        <v>594</v>
      </c>
      <c r="B818" s="1">
        <v>45123</v>
      </c>
      <c r="C818" t="s">
        <v>595</v>
      </c>
      <c r="D818" t="s">
        <v>50</v>
      </c>
      <c r="E818" t="s">
        <v>51</v>
      </c>
      <c r="F818" t="s">
        <v>46</v>
      </c>
      <c r="G818" t="s">
        <v>46</v>
      </c>
      <c r="H818" t="s">
        <v>47</v>
      </c>
      <c r="I818" t="s">
        <v>43</v>
      </c>
      <c r="J818" t="s">
        <v>22</v>
      </c>
      <c r="K818" s="2">
        <v>15079.22</v>
      </c>
      <c r="L818" s="4">
        <v>1</v>
      </c>
      <c r="M818" s="3">
        <v>0.2</v>
      </c>
      <c r="N818" s="2">
        <v>0</v>
      </c>
    </row>
    <row r="819" spans="1:14" x14ac:dyDescent="0.3">
      <c r="A819" t="s">
        <v>1176</v>
      </c>
      <c r="B819" s="1">
        <v>45124</v>
      </c>
      <c r="C819" t="s">
        <v>1177</v>
      </c>
      <c r="D819" t="s">
        <v>33</v>
      </c>
      <c r="E819" t="s">
        <v>26</v>
      </c>
      <c r="F819" t="s">
        <v>46</v>
      </c>
      <c r="G819" t="s">
        <v>46</v>
      </c>
      <c r="H819" t="s">
        <v>47</v>
      </c>
      <c r="I819" t="s">
        <v>43</v>
      </c>
      <c r="J819" t="s">
        <v>58</v>
      </c>
      <c r="K819" s="2">
        <v>33529.58</v>
      </c>
      <c r="L819" s="4">
        <v>9</v>
      </c>
      <c r="M819" s="3">
        <v>0.18</v>
      </c>
      <c r="N819" s="2">
        <v>335.3</v>
      </c>
    </row>
    <row r="820" spans="1:14" x14ac:dyDescent="0.3">
      <c r="A820" t="s">
        <v>509</v>
      </c>
      <c r="B820" s="1">
        <v>45125</v>
      </c>
      <c r="C820" t="s">
        <v>510</v>
      </c>
      <c r="D820" t="s">
        <v>57</v>
      </c>
      <c r="E820" t="s">
        <v>26</v>
      </c>
      <c r="F820" t="s">
        <v>40</v>
      </c>
      <c r="G820" t="s">
        <v>41</v>
      </c>
      <c r="H820" t="s">
        <v>42</v>
      </c>
      <c r="I820" t="s">
        <v>43</v>
      </c>
      <c r="J820" t="s">
        <v>106</v>
      </c>
      <c r="K820" s="2">
        <v>49668.15</v>
      </c>
      <c r="L820" s="4">
        <v>1</v>
      </c>
      <c r="M820" s="3">
        <v>0.25</v>
      </c>
      <c r="N820" s="2">
        <v>-1241.7</v>
      </c>
    </row>
    <row r="821" spans="1:14" x14ac:dyDescent="0.3">
      <c r="A821" t="s">
        <v>2072</v>
      </c>
      <c r="B821" s="1">
        <v>45125</v>
      </c>
      <c r="C821" t="s">
        <v>2073</v>
      </c>
      <c r="D821" t="s">
        <v>16</v>
      </c>
      <c r="E821" t="s">
        <v>26</v>
      </c>
      <c r="F821" t="s">
        <v>79</v>
      </c>
      <c r="G821" t="s">
        <v>80</v>
      </c>
      <c r="H821" t="s">
        <v>47</v>
      </c>
      <c r="I821" t="s">
        <v>29</v>
      </c>
      <c r="J821" t="s">
        <v>64</v>
      </c>
      <c r="K821" s="2">
        <v>28304.7</v>
      </c>
      <c r="L821" s="4">
        <v>5</v>
      </c>
      <c r="M821" s="3">
        <v>7.0000000000000007E-2</v>
      </c>
      <c r="N821" s="2">
        <v>1839.81</v>
      </c>
    </row>
    <row r="822" spans="1:14" x14ac:dyDescent="0.3">
      <c r="A822" t="s">
        <v>219</v>
      </c>
      <c r="B822" s="1">
        <v>45125</v>
      </c>
      <c r="C822" t="s">
        <v>220</v>
      </c>
      <c r="D822" t="s">
        <v>16</v>
      </c>
      <c r="E822" t="s">
        <v>26</v>
      </c>
      <c r="F822" t="s">
        <v>18</v>
      </c>
      <c r="G822" t="s">
        <v>19</v>
      </c>
      <c r="H822" t="s">
        <v>20</v>
      </c>
      <c r="I822" t="s">
        <v>29</v>
      </c>
      <c r="J822" t="s">
        <v>58</v>
      </c>
      <c r="K822" s="2">
        <v>44435.27</v>
      </c>
      <c r="L822" s="4">
        <v>7</v>
      </c>
      <c r="M822" s="3">
        <v>0.05</v>
      </c>
      <c r="N822" s="2">
        <v>3332.65</v>
      </c>
    </row>
    <row r="823" spans="1:14" x14ac:dyDescent="0.3">
      <c r="A823" t="s">
        <v>1545</v>
      </c>
      <c r="B823" s="1">
        <v>45125</v>
      </c>
      <c r="C823" t="s">
        <v>930</v>
      </c>
      <c r="D823" t="s">
        <v>33</v>
      </c>
      <c r="E823" t="s">
        <v>17</v>
      </c>
      <c r="F823" t="s">
        <v>27</v>
      </c>
      <c r="G823" t="s">
        <v>28</v>
      </c>
      <c r="H823" t="s">
        <v>20</v>
      </c>
      <c r="I823" t="s">
        <v>21</v>
      </c>
      <c r="J823" t="s">
        <v>22</v>
      </c>
      <c r="K823" s="2">
        <v>18821.96</v>
      </c>
      <c r="L823" s="4">
        <v>8</v>
      </c>
      <c r="M823" s="3">
        <v>7.0000000000000007E-2</v>
      </c>
      <c r="N823" s="2">
        <v>1223.43</v>
      </c>
    </row>
    <row r="824" spans="1:14" x14ac:dyDescent="0.3">
      <c r="A824" t="s">
        <v>1496</v>
      </c>
      <c r="B824" s="1">
        <v>45126</v>
      </c>
      <c r="C824" t="s">
        <v>128</v>
      </c>
      <c r="D824" t="s">
        <v>57</v>
      </c>
      <c r="E824" t="s">
        <v>17</v>
      </c>
      <c r="F824" t="s">
        <v>27</v>
      </c>
      <c r="G824" t="s">
        <v>28</v>
      </c>
      <c r="H824" t="s">
        <v>20</v>
      </c>
      <c r="I824" t="s">
        <v>43</v>
      </c>
      <c r="J824" t="s">
        <v>106</v>
      </c>
      <c r="K824" s="2">
        <v>10326.17</v>
      </c>
      <c r="L824" s="4">
        <v>8</v>
      </c>
      <c r="M824" s="3">
        <v>0.2</v>
      </c>
      <c r="N824" s="2">
        <v>0</v>
      </c>
    </row>
    <row r="825" spans="1:14" x14ac:dyDescent="0.3">
      <c r="A825" t="s">
        <v>1759</v>
      </c>
      <c r="B825" s="1">
        <v>45126</v>
      </c>
      <c r="C825" t="s">
        <v>1760</v>
      </c>
      <c r="D825" t="s">
        <v>25</v>
      </c>
      <c r="E825" t="s">
        <v>51</v>
      </c>
      <c r="F825" t="s">
        <v>34</v>
      </c>
      <c r="G825" t="s">
        <v>35</v>
      </c>
      <c r="H825" t="s">
        <v>36</v>
      </c>
      <c r="I825" t="s">
        <v>21</v>
      </c>
      <c r="J825" t="s">
        <v>54</v>
      </c>
      <c r="K825" s="2">
        <v>23984.17</v>
      </c>
      <c r="L825" s="4">
        <v>1</v>
      </c>
      <c r="M825" s="3">
        <v>0.11</v>
      </c>
      <c r="N825" s="2">
        <v>1079.29</v>
      </c>
    </row>
    <row r="826" spans="1:14" x14ac:dyDescent="0.3">
      <c r="A826" t="s">
        <v>2250</v>
      </c>
      <c r="B826" s="1">
        <v>45126</v>
      </c>
      <c r="C826" t="s">
        <v>93</v>
      </c>
      <c r="D826" t="s">
        <v>50</v>
      </c>
      <c r="E826" t="s">
        <v>17</v>
      </c>
      <c r="F826" t="s">
        <v>79</v>
      </c>
      <c r="G826" t="s">
        <v>80</v>
      </c>
      <c r="H826" t="s">
        <v>47</v>
      </c>
      <c r="I826" t="s">
        <v>29</v>
      </c>
      <c r="J826" t="s">
        <v>37</v>
      </c>
      <c r="K826" s="2">
        <v>42342.32</v>
      </c>
      <c r="L826" s="4">
        <v>9</v>
      </c>
      <c r="M826" s="3">
        <v>0.1</v>
      </c>
      <c r="N826" s="2">
        <v>2117.12</v>
      </c>
    </row>
    <row r="827" spans="1:14" x14ac:dyDescent="0.3">
      <c r="A827" t="s">
        <v>1143</v>
      </c>
      <c r="B827" s="1">
        <v>45126</v>
      </c>
      <c r="C827" t="s">
        <v>686</v>
      </c>
      <c r="D827" t="s">
        <v>85</v>
      </c>
      <c r="E827" t="s">
        <v>26</v>
      </c>
      <c r="F827" t="s">
        <v>46</v>
      </c>
      <c r="G827" t="s">
        <v>46</v>
      </c>
      <c r="H827" t="s">
        <v>47</v>
      </c>
      <c r="I827" t="s">
        <v>21</v>
      </c>
      <c r="J827" t="s">
        <v>30</v>
      </c>
      <c r="K827" s="2">
        <v>36111.47</v>
      </c>
      <c r="L827" s="4">
        <v>7</v>
      </c>
      <c r="M827" s="3">
        <v>0.2</v>
      </c>
      <c r="N827" s="2">
        <v>0</v>
      </c>
    </row>
    <row r="828" spans="1:14" x14ac:dyDescent="0.3">
      <c r="A828" t="s">
        <v>1277</v>
      </c>
      <c r="B828" s="1">
        <v>45127</v>
      </c>
      <c r="C828" t="s">
        <v>1278</v>
      </c>
      <c r="D828" t="s">
        <v>25</v>
      </c>
      <c r="E828" t="s">
        <v>26</v>
      </c>
      <c r="F828" t="s">
        <v>34</v>
      </c>
      <c r="G828" t="s">
        <v>35</v>
      </c>
      <c r="H828" t="s">
        <v>36</v>
      </c>
      <c r="I828" t="s">
        <v>43</v>
      </c>
      <c r="J828" t="s">
        <v>54</v>
      </c>
      <c r="K828" s="2">
        <v>44911.16</v>
      </c>
      <c r="L828" s="4">
        <v>1</v>
      </c>
      <c r="M828" s="3">
        <v>0.21</v>
      </c>
      <c r="N828" s="2">
        <v>-224.56</v>
      </c>
    </row>
    <row r="829" spans="1:14" x14ac:dyDescent="0.3">
      <c r="A829" t="s">
        <v>1370</v>
      </c>
      <c r="B829" s="1">
        <v>45127</v>
      </c>
      <c r="C829" t="s">
        <v>1371</v>
      </c>
      <c r="D829" t="s">
        <v>61</v>
      </c>
      <c r="E829" t="s">
        <v>51</v>
      </c>
      <c r="F829" t="s">
        <v>46</v>
      </c>
      <c r="G829" t="s">
        <v>46</v>
      </c>
      <c r="H829" t="s">
        <v>47</v>
      </c>
      <c r="I829" t="s">
        <v>43</v>
      </c>
      <c r="J829" t="s">
        <v>22</v>
      </c>
      <c r="K829" s="2">
        <v>23898.19</v>
      </c>
      <c r="L829" s="4">
        <v>3</v>
      </c>
      <c r="M829" s="3">
        <v>0.02</v>
      </c>
      <c r="N829" s="2">
        <v>2150.84</v>
      </c>
    </row>
    <row r="830" spans="1:14" x14ac:dyDescent="0.3">
      <c r="A830" t="s">
        <v>1426</v>
      </c>
      <c r="B830" s="1">
        <v>45127</v>
      </c>
      <c r="C830" t="s">
        <v>1427</v>
      </c>
      <c r="D830" t="s">
        <v>25</v>
      </c>
      <c r="E830" t="s">
        <v>26</v>
      </c>
      <c r="F830" t="s">
        <v>27</v>
      </c>
      <c r="G830" t="s">
        <v>28</v>
      </c>
      <c r="H830" t="s">
        <v>20</v>
      </c>
      <c r="I830" t="s">
        <v>21</v>
      </c>
      <c r="J830" t="s">
        <v>58</v>
      </c>
      <c r="K830" s="2">
        <v>22508.85</v>
      </c>
      <c r="L830" s="4">
        <v>7</v>
      </c>
      <c r="M830" s="3">
        <v>7.0000000000000007E-2</v>
      </c>
      <c r="N830" s="2">
        <v>1463.08</v>
      </c>
    </row>
    <row r="831" spans="1:14" x14ac:dyDescent="0.3">
      <c r="A831" t="s">
        <v>1467</v>
      </c>
      <c r="B831" s="1">
        <v>45127</v>
      </c>
      <c r="C831" t="s">
        <v>301</v>
      </c>
      <c r="D831" t="s">
        <v>25</v>
      </c>
      <c r="E831" t="s">
        <v>51</v>
      </c>
      <c r="F831" t="s">
        <v>18</v>
      </c>
      <c r="G831" t="s">
        <v>19</v>
      </c>
      <c r="H831" t="s">
        <v>20</v>
      </c>
      <c r="I831" t="s">
        <v>21</v>
      </c>
      <c r="J831" t="s">
        <v>22</v>
      </c>
      <c r="K831" s="2">
        <v>48277.16</v>
      </c>
      <c r="L831" s="4">
        <v>5</v>
      </c>
      <c r="M831" s="3">
        <v>0.2</v>
      </c>
      <c r="N831" s="2">
        <v>0</v>
      </c>
    </row>
    <row r="832" spans="1:14" x14ac:dyDescent="0.3">
      <c r="A832" t="s">
        <v>1930</v>
      </c>
      <c r="B832" s="1">
        <v>45127</v>
      </c>
      <c r="C832" t="s">
        <v>1931</v>
      </c>
      <c r="D832" t="s">
        <v>85</v>
      </c>
      <c r="E832" t="s">
        <v>51</v>
      </c>
      <c r="F832" t="s">
        <v>46</v>
      </c>
      <c r="G832" t="s">
        <v>46</v>
      </c>
      <c r="H832" t="s">
        <v>47</v>
      </c>
      <c r="I832" t="s">
        <v>43</v>
      </c>
      <c r="J832" t="s">
        <v>58</v>
      </c>
      <c r="K832" s="2">
        <v>11055.09</v>
      </c>
      <c r="L832" s="4">
        <v>9</v>
      </c>
      <c r="M832" s="3">
        <v>0.11</v>
      </c>
      <c r="N832" s="2">
        <v>497.48</v>
      </c>
    </row>
    <row r="833" spans="1:14" x14ac:dyDescent="0.3">
      <c r="A833" t="s">
        <v>169</v>
      </c>
      <c r="B833" s="1">
        <v>45127</v>
      </c>
      <c r="C833" t="s">
        <v>170</v>
      </c>
      <c r="D833" t="s">
        <v>61</v>
      </c>
      <c r="E833" t="s">
        <v>26</v>
      </c>
      <c r="F833" t="s">
        <v>18</v>
      </c>
      <c r="G833" t="s">
        <v>19</v>
      </c>
      <c r="H833" t="s">
        <v>20</v>
      </c>
      <c r="I833" t="s">
        <v>29</v>
      </c>
      <c r="J833" t="s">
        <v>64</v>
      </c>
      <c r="K833" s="2">
        <v>35933.99</v>
      </c>
      <c r="L833" s="4">
        <v>10</v>
      </c>
      <c r="M833" s="3">
        <v>0.28999999999999998</v>
      </c>
      <c r="N833" s="2">
        <v>-1617.03</v>
      </c>
    </row>
    <row r="834" spans="1:14" x14ac:dyDescent="0.3">
      <c r="A834" t="s">
        <v>602</v>
      </c>
      <c r="B834" s="1">
        <v>45128</v>
      </c>
      <c r="C834" t="s">
        <v>124</v>
      </c>
      <c r="D834" t="s">
        <v>25</v>
      </c>
      <c r="E834" t="s">
        <v>17</v>
      </c>
      <c r="F834" t="s">
        <v>40</v>
      </c>
      <c r="G834" t="s">
        <v>41</v>
      </c>
      <c r="H834" t="s">
        <v>42</v>
      </c>
      <c r="I834" t="s">
        <v>43</v>
      </c>
      <c r="J834" t="s">
        <v>22</v>
      </c>
      <c r="K834" s="2">
        <v>1117.98</v>
      </c>
      <c r="L834" s="4">
        <v>9</v>
      </c>
      <c r="M834" s="3">
        <v>0.02</v>
      </c>
      <c r="N834" s="2">
        <v>100.62</v>
      </c>
    </row>
    <row r="835" spans="1:14" x14ac:dyDescent="0.3">
      <c r="A835" t="s">
        <v>955</v>
      </c>
      <c r="B835" s="1">
        <v>45128</v>
      </c>
      <c r="C835" t="s">
        <v>956</v>
      </c>
      <c r="D835" t="s">
        <v>16</v>
      </c>
      <c r="E835" t="s">
        <v>17</v>
      </c>
      <c r="F835" t="s">
        <v>34</v>
      </c>
      <c r="G835" t="s">
        <v>35</v>
      </c>
      <c r="H835" t="s">
        <v>36</v>
      </c>
      <c r="I835" t="s">
        <v>21</v>
      </c>
      <c r="J835" t="s">
        <v>58</v>
      </c>
      <c r="K835" s="2">
        <v>35853.1</v>
      </c>
      <c r="L835" s="4">
        <v>9</v>
      </c>
      <c r="M835" s="3">
        <v>0.05</v>
      </c>
      <c r="N835" s="2">
        <v>2688.98</v>
      </c>
    </row>
    <row r="836" spans="1:14" x14ac:dyDescent="0.3">
      <c r="A836" t="s">
        <v>755</v>
      </c>
      <c r="B836" s="1">
        <v>45129</v>
      </c>
      <c r="C836" t="s">
        <v>756</v>
      </c>
      <c r="D836" t="s">
        <v>25</v>
      </c>
      <c r="E836" t="s">
        <v>51</v>
      </c>
      <c r="F836" t="s">
        <v>79</v>
      </c>
      <c r="G836" t="s">
        <v>80</v>
      </c>
      <c r="H836" t="s">
        <v>47</v>
      </c>
      <c r="I836" t="s">
        <v>43</v>
      </c>
      <c r="J836" t="s">
        <v>54</v>
      </c>
      <c r="K836" s="2">
        <v>2443.81</v>
      </c>
      <c r="L836" s="4">
        <v>1</v>
      </c>
      <c r="M836" s="3">
        <v>0.04</v>
      </c>
      <c r="N836" s="2">
        <v>195.5</v>
      </c>
    </row>
    <row r="837" spans="1:14" x14ac:dyDescent="0.3">
      <c r="A837" t="s">
        <v>819</v>
      </c>
      <c r="B837" s="1">
        <v>45129</v>
      </c>
      <c r="C837" t="s">
        <v>820</v>
      </c>
      <c r="D837" t="s">
        <v>61</v>
      </c>
      <c r="E837" t="s">
        <v>26</v>
      </c>
      <c r="F837" t="s">
        <v>18</v>
      </c>
      <c r="G837" t="s">
        <v>19</v>
      </c>
      <c r="H837" t="s">
        <v>20</v>
      </c>
      <c r="I837" t="s">
        <v>29</v>
      </c>
      <c r="J837" t="s">
        <v>64</v>
      </c>
      <c r="K837" s="2">
        <v>18241.47</v>
      </c>
      <c r="L837" s="4">
        <v>5</v>
      </c>
      <c r="M837" s="3">
        <v>0.04</v>
      </c>
      <c r="N837" s="2">
        <v>1459.32</v>
      </c>
    </row>
    <row r="838" spans="1:14" x14ac:dyDescent="0.3">
      <c r="A838" t="s">
        <v>1493</v>
      </c>
      <c r="B838" s="1">
        <v>45129</v>
      </c>
      <c r="C838" t="s">
        <v>1494</v>
      </c>
      <c r="D838" t="s">
        <v>61</v>
      </c>
      <c r="E838" t="s">
        <v>51</v>
      </c>
      <c r="F838" t="s">
        <v>79</v>
      </c>
      <c r="G838" t="s">
        <v>80</v>
      </c>
      <c r="H838" t="s">
        <v>47</v>
      </c>
      <c r="I838" t="s">
        <v>43</v>
      </c>
      <c r="J838" t="s">
        <v>22</v>
      </c>
      <c r="K838" s="2">
        <v>32481.61</v>
      </c>
      <c r="L838" s="4">
        <v>6</v>
      </c>
      <c r="M838" s="3">
        <v>0.22</v>
      </c>
      <c r="N838" s="2">
        <v>-324.82</v>
      </c>
    </row>
    <row r="839" spans="1:14" x14ac:dyDescent="0.3">
      <c r="A839" t="s">
        <v>1186</v>
      </c>
      <c r="B839" s="1">
        <v>45129</v>
      </c>
      <c r="C839" t="s">
        <v>672</v>
      </c>
      <c r="D839" t="s">
        <v>33</v>
      </c>
      <c r="E839" t="s">
        <v>17</v>
      </c>
      <c r="F839" t="s">
        <v>18</v>
      </c>
      <c r="G839" t="s">
        <v>19</v>
      </c>
      <c r="H839" t="s">
        <v>20</v>
      </c>
      <c r="I839" t="s">
        <v>43</v>
      </c>
      <c r="J839" t="s">
        <v>37</v>
      </c>
      <c r="K839" s="2">
        <v>686.32</v>
      </c>
      <c r="L839" s="4">
        <v>5</v>
      </c>
      <c r="M839" s="3">
        <v>0.23</v>
      </c>
      <c r="N839" s="2">
        <v>-10.29</v>
      </c>
    </row>
    <row r="840" spans="1:14" x14ac:dyDescent="0.3">
      <c r="A840" t="s">
        <v>720</v>
      </c>
      <c r="B840" s="1">
        <v>45130</v>
      </c>
      <c r="C840" t="s">
        <v>721</v>
      </c>
      <c r="D840" t="s">
        <v>57</v>
      </c>
      <c r="E840" t="s">
        <v>26</v>
      </c>
      <c r="F840" t="s">
        <v>27</v>
      </c>
      <c r="G840" t="s">
        <v>28</v>
      </c>
      <c r="H840" t="s">
        <v>20</v>
      </c>
      <c r="I840" t="s">
        <v>43</v>
      </c>
      <c r="J840" t="s">
        <v>58</v>
      </c>
      <c r="K840" s="2">
        <v>38875.65</v>
      </c>
      <c r="L840" s="4">
        <v>6</v>
      </c>
      <c r="M840" s="3">
        <v>0.25</v>
      </c>
      <c r="N840" s="2">
        <v>-971.89</v>
      </c>
    </row>
    <row r="841" spans="1:14" x14ac:dyDescent="0.3">
      <c r="A841" t="s">
        <v>1262</v>
      </c>
      <c r="B841" s="1">
        <v>45130</v>
      </c>
      <c r="C841" t="s">
        <v>460</v>
      </c>
      <c r="D841" t="s">
        <v>85</v>
      </c>
      <c r="E841" t="s">
        <v>51</v>
      </c>
      <c r="F841" t="s">
        <v>46</v>
      </c>
      <c r="G841" t="s">
        <v>46</v>
      </c>
      <c r="H841" t="s">
        <v>47</v>
      </c>
      <c r="I841" t="s">
        <v>29</v>
      </c>
      <c r="J841" t="s">
        <v>64</v>
      </c>
      <c r="K841" s="2">
        <v>21538.89</v>
      </c>
      <c r="L841" s="4">
        <v>9</v>
      </c>
      <c r="M841" s="3">
        <v>0.13</v>
      </c>
      <c r="N841" s="2">
        <v>753.86</v>
      </c>
    </row>
    <row r="842" spans="1:14" x14ac:dyDescent="0.3">
      <c r="A842" t="s">
        <v>1769</v>
      </c>
      <c r="B842" s="1">
        <v>45130</v>
      </c>
      <c r="C842" t="s">
        <v>1149</v>
      </c>
      <c r="D842" t="s">
        <v>61</v>
      </c>
      <c r="E842" t="s">
        <v>51</v>
      </c>
      <c r="F842" t="s">
        <v>27</v>
      </c>
      <c r="G842" t="s">
        <v>28</v>
      </c>
      <c r="H842" t="s">
        <v>20</v>
      </c>
      <c r="I842" t="s">
        <v>21</v>
      </c>
      <c r="J842" t="s">
        <v>64</v>
      </c>
      <c r="K842" s="2">
        <v>37261.339999999997</v>
      </c>
      <c r="L842" s="4">
        <v>9</v>
      </c>
      <c r="M842" s="3">
        <v>0.11</v>
      </c>
      <c r="N842" s="2">
        <v>1676.76</v>
      </c>
    </row>
    <row r="843" spans="1:14" x14ac:dyDescent="0.3">
      <c r="A843" t="s">
        <v>2004</v>
      </c>
      <c r="B843" s="1">
        <v>45130</v>
      </c>
      <c r="C843" t="s">
        <v>853</v>
      </c>
      <c r="D843" t="s">
        <v>25</v>
      </c>
      <c r="E843" t="s">
        <v>51</v>
      </c>
      <c r="F843" t="s">
        <v>40</v>
      </c>
      <c r="G843" t="s">
        <v>41</v>
      </c>
      <c r="H843" t="s">
        <v>42</v>
      </c>
      <c r="I843" t="s">
        <v>43</v>
      </c>
      <c r="J843" t="s">
        <v>54</v>
      </c>
      <c r="K843" s="2">
        <v>35308.17</v>
      </c>
      <c r="L843" s="4">
        <v>2</v>
      </c>
      <c r="M843" s="3">
        <v>0.28999999999999998</v>
      </c>
      <c r="N843" s="2">
        <v>-1588.87</v>
      </c>
    </row>
    <row r="844" spans="1:14" x14ac:dyDescent="0.3">
      <c r="A844" t="s">
        <v>2263</v>
      </c>
      <c r="B844" s="1">
        <v>45130</v>
      </c>
      <c r="C844" t="s">
        <v>210</v>
      </c>
      <c r="D844" t="s">
        <v>25</v>
      </c>
      <c r="E844" t="s">
        <v>26</v>
      </c>
      <c r="F844" t="s">
        <v>34</v>
      </c>
      <c r="G844" t="s">
        <v>35</v>
      </c>
      <c r="H844" t="s">
        <v>36</v>
      </c>
      <c r="I844" t="s">
        <v>43</v>
      </c>
      <c r="J844" t="s">
        <v>58</v>
      </c>
      <c r="K844" s="2">
        <v>37715.68</v>
      </c>
      <c r="L844" s="4">
        <v>8</v>
      </c>
      <c r="M844" s="3">
        <v>0.09</v>
      </c>
      <c r="N844" s="2">
        <v>2074.36</v>
      </c>
    </row>
    <row r="845" spans="1:14" x14ac:dyDescent="0.3">
      <c r="A845" t="s">
        <v>985</v>
      </c>
      <c r="B845" s="1">
        <v>45131</v>
      </c>
      <c r="C845" t="s">
        <v>986</v>
      </c>
      <c r="D845" t="s">
        <v>33</v>
      </c>
      <c r="E845" t="s">
        <v>26</v>
      </c>
      <c r="F845" t="s">
        <v>27</v>
      </c>
      <c r="G845" t="s">
        <v>28</v>
      </c>
      <c r="H845" t="s">
        <v>20</v>
      </c>
      <c r="I845" t="s">
        <v>43</v>
      </c>
      <c r="J845" t="s">
        <v>22</v>
      </c>
      <c r="K845" s="2">
        <v>1836.65</v>
      </c>
      <c r="L845" s="4">
        <v>1</v>
      </c>
      <c r="M845" s="3">
        <v>0.01</v>
      </c>
      <c r="N845" s="2">
        <v>174.48</v>
      </c>
    </row>
    <row r="846" spans="1:14" x14ac:dyDescent="0.3">
      <c r="A846" t="s">
        <v>1284</v>
      </c>
      <c r="B846" s="1">
        <v>45131</v>
      </c>
      <c r="C846" t="s">
        <v>1285</v>
      </c>
      <c r="D846" t="s">
        <v>33</v>
      </c>
      <c r="E846" t="s">
        <v>26</v>
      </c>
      <c r="F846" t="s">
        <v>18</v>
      </c>
      <c r="G846" t="s">
        <v>19</v>
      </c>
      <c r="H846" t="s">
        <v>20</v>
      </c>
      <c r="I846" t="s">
        <v>43</v>
      </c>
      <c r="J846" t="s">
        <v>54</v>
      </c>
      <c r="K846" s="2">
        <v>26693.91</v>
      </c>
      <c r="L846" s="4">
        <v>6</v>
      </c>
      <c r="M846" s="3">
        <v>0.1</v>
      </c>
      <c r="N846" s="2">
        <v>1334.7</v>
      </c>
    </row>
    <row r="847" spans="1:14" x14ac:dyDescent="0.3">
      <c r="A847" t="s">
        <v>1706</v>
      </c>
      <c r="B847" s="1">
        <v>45131</v>
      </c>
      <c r="C847" t="s">
        <v>180</v>
      </c>
      <c r="D847" t="s">
        <v>85</v>
      </c>
      <c r="E847" t="s">
        <v>17</v>
      </c>
      <c r="F847" t="s">
        <v>79</v>
      </c>
      <c r="G847" t="s">
        <v>80</v>
      </c>
      <c r="H847" t="s">
        <v>47</v>
      </c>
      <c r="I847" t="s">
        <v>29</v>
      </c>
      <c r="J847" t="s">
        <v>106</v>
      </c>
      <c r="K847" s="2">
        <v>7752.41</v>
      </c>
      <c r="L847" s="4">
        <v>10</v>
      </c>
      <c r="M847" s="3">
        <v>0.09</v>
      </c>
      <c r="N847" s="2">
        <v>426.38</v>
      </c>
    </row>
    <row r="848" spans="1:14" x14ac:dyDescent="0.3">
      <c r="A848" t="s">
        <v>1879</v>
      </c>
      <c r="B848" s="1">
        <v>45131</v>
      </c>
      <c r="C848" t="s">
        <v>1765</v>
      </c>
      <c r="D848" t="s">
        <v>57</v>
      </c>
      <c r="E848" t="s">
        <v>51</v>
      </c>
      <c r="F848" t="s">
        <v>40</v>
      </c>
      <c r="G848" t="s">
        <v>41</v>
      </c>
      <c r="H848" t="s">
        <v>42</v>
      </c>
      <c r="I848" t="s">
        <v>43</v>
      </c>
      <c r="J848" t="s">
        <v>64</v>
      </c>
      <c r="K848" s="2">
        <v>45753.61</v>
      </c>
      <c r="L848" s="4">
        <v>4</v>
      </c>
      <c r="M848" s="3">
        <v>0.25</v>
      </c>
      <c r="N848" s="2">
        <v>-1143.8399999999999</v>
      </c>
    </row>
    <row r="849" spans="1:14" x14ac:dyDescent="0.3">
      <c r="A849" t="s">
        <v>1943</v>
      </c>
      <c r="B849" s="1">
        <v>45131</v>
      </c>
      <c r="C849" t="s">
        <v>1944</v>
      </c>
      <c r="D849" t="s">
        <v>16</v>
      </c>
      <c r="E849" t="s">
        <v>26</v>
      </c>
      <c r="F849" t="s">
        <v>46</v>
      </c>
      <c r="G849" t="s">
        <v>46</v>
      </c>
      <c r="H849" t="s">
        <v>47</v>
      </c>
      <c r="I849" t="s">
        <v>29</v>
      </c>
      <c r="J849" t="s">
        <v>58</v>
      </c>
      <c r="K849" s="2">
        <v>33117.51</v>
      </c>
      <c r="L849" s="4">
        <v>5</v>
      </c>
      <c r="M849" s="3">
        <v>0.21</v>
      </c>
      <c r="N849" s="2">
        <v>-165.59</v>
      </c>
    </row>
    <row r="850" spans="1:14" x14ac:dyDescent="0.3">
      <c r="A850" t="s">
        <v>1546</v>
      </c>
      <c r="B850" s="1">
        <v>45132</v>
      </c>
      <c r="C850" t="s">
        <v>1260</v>
      </c>
      <c r="D850" t="s">
        <v>61</v>
      </c>
      <c r="E850" t="s">
        <v>17</v>
      </c>
      <c r="F850" t="s">
        <v>46</v>
      </c>
      <c r="G850" t="s">
        <v>46</v>
      </c>
      <c r="H850" t="s">
        <v>47</v>
      </c>
      <c r="I850" t="s">
        <v>43</v>
      </c>
      <c r="J850" t="s">
        <v>106</v>
      </c>
      <c r="K850" s="2">
        <v>43591.61</v>
      </c>
      <c r="L850" s="4">
        <v>1</v>
      </c>
      <c r="M850" s="3">
        <v>0.12</v>
      </c>
      <c r="N850" s="2">
        <v>1743.66</v>
      </c>
    </row>
    <row r="851" spans="1:14" x14ac:dyDescent="0.3">
      <c r="A851" t="s">
        <v>2173</v>
      </c>
      <c r="B851" s="1">
        <v>45132</v>
      </c>
      <c r="C851" t="s">
        <v>120</v>
      </c>
      <c r="D851" t="s">
        <v>85</v>
      </c>
      <c r="E851" t="s">
        <v>26</v>
      </c>
      <c r="F851" t="s">
        <v>46</v>
      </c>
      <c r="G851" t="s">
        <v>46</v>
      </c>
      <c r="H851" t="s">
        <v>47</v>
      </c>
      <c r="I851" t="s">
        <v>21</v>
      </c>
      <c r="J851" t="s">
        <v>58</v>
      </c>
      <c r="K851" s="2">
        <v>37801.29</v>
      </c>
      <c r="L851" s="4">
        <v>6</v>
      </c>
      <c r="M851" s="3">
        <v>0.28000000000000003</v>
      </c>
      <c r="N851" s="2">
        <v>-1512.05</v>
      </c>
    </row>
    <row r="852" spans="1:14" x14ac:dyDescent="0.3">
      <c r="A852" t="s">
        <v>951</v>
      </c>
      <c r="B852" s="1">
        <v>45132</v>
      </c>
      <c r="C852" t="s">
        <v>648</v>
      </c>
      <c r="D852" t="s">
        <v>61</v>
      </c>
      <c r="E852" t="s">
        <v>17</v>
      </c>
      <c r="F852" t="s">
        <v>79</v>
      </c>
      <c r="G852" t="s">
        <v>80</v>
      </c>
      <c r="H852" t="s">
        <v>47</v>
      </c>
      <c r="I852" t="s">
        <v>21</v>
      </c>
      <c r="J852" t="s">
        <v>22</v>
      </c>
      <c r="K852" s="2">
        <v>27650.48</v>
      </c>
      <c r="L852" s="4">
        <v>7</v>
      </c>
      <c r="M852" s="3">
        <v>0</v>
      </c>
      <c r="N852" s="2">
        <v>2765.05</v>
      </c>
    </row>
    <row r="853" spans="1:14" x14ac:dyDescent="0.3">
      <c r="A853" t="s">
        <v>958</v>
      </c>
      <c r="B853" s="1">
        <v>45133</v>
      </c>
      <c r="C853" t="s">
        <v>959</v>
      </c>
      <c r="D853" t="s">
        <v>57</v>
      </c>
      <c r="E853" t="s">
        <v>26</v>
      </c>
      <c r="F853" t="s">
        <v>18</v>
      </c>
      <c r="G853" t="s">
        <v>19</v>
      </c>
      <c r="H853" t="s">
        <v>20</v>
      </c>
      <c r="I853" t="s">
        <v>43</v>
      </c>
      <c r="J853" t="s">
        <v>22</v>
      </c>
      <c r="K853" s="2">
        <v>45510.68</v>
      </c>
      <c r="L853" s="4">
        <v>4</v>
      </c>
      <c r="M853" s="3">
        <v>0.16</v>
      </c>
      <c r="N853" s="2">
        <v>910.21</v>
      </c>
    </row>
    <row r="854" spans="1:14" x14ac:dyDescent="0.3">
      <c r="A854" t="s">
        <v>135</v>
      </c>
      <c r="B854" s="1">
        <v>45133</v>
      </c>
      <c r="C854" t="s">
        <v>136</v>
      </c>
      <c r="D854" t="s">
        <v>25</v>
      </c>
      <c r="E854" t="s">
        <v>51</v>
      </c>
      <c r="F854" t="s">
        <v>27</v>
      </c>
      <c r="G854" t="s">
        <v>28</v>
      </c>
      <c r="H854" t="s">
        <v>20</v>
      </c>
      <c r="I854" t="s">
        <v>29</v>
      </c>
      <c r="J854" t="s">
        <v>106</v>
      </c>
      <c r="K854" s="2">
        <v>45957.51</v>
      </c>
      <c r="L854" s="4">
        <v>2</v>
      </c>
      <c r="M854" s="3">
        <v>0.26</v>
      </c>
      <c r="N854" s="2">
        <v>-1378.73</v>
      </c>
    </row>
    <row r="855" spans="1:14" x14ac:dyDescent="0.3">
      <c r="A855" t="s">
        <v>1735</v>
      </c>
      <c r="B855" s="1">
        <v>45133</v>
      </c>
      <c r="C855" t="s">
        <v>818</v>
      </c>
      <c r="D855" t="s">
        <v>25</v>
      </c>
      <c r="E855" t="s">
        <v>26</v>
      </c>
      <c r="F855" t="s">
        <v>40</v>
      </c>
      <c r="G855" t="s">
        <v>41</v>
      </c>
      <c r="H855" t="s">
        <v>42</v>
      </c>
      <c r="I855" t="s">
        <v>43</v>
      </c>
      <c r="J855" t="s">
        <v>64</v>
      </c>
      <c r="K855" s="2">
        <v>33831.07</v>
      </c>
      <c r="L855" s="4">
        <v>8</v>
      </c>
      <c r="M855" s="3">
        <v>0.26</v>
      </c>
      <c r="N855" s="2">
        <v>-1014.93</v>
      </c>
    </row>
    <row r="856" spans="1:14" x14ac:dyDescent="0.3">
      <c r="A856" t="s">
        <v>1136</v>
      </c>
      <c r="B856" s="1">
        <v>45133</v>
      </c>
      <c r="C856" t="s">
        <v>1137</v>
      </c>
      <c r="D856" t="s">
        <v>16</v>
      </c>
      <c r="E856" t="s">
        <v>26</v>
      </c>
      <c r="F856" t="s">
        <v>46</v>
      </c>
      <c r="G856" t="s">
        <v>46</v>
      </c>
      <c r="H856" t="s">
        <v>47</v>
      </c>
      <c r="I856" t="s">
        <v>29</v>
      </c>
      <c r="J856" t="s">
        <v>106</v>
      </c>
      <c r="K856" s="2">
        <v>44557.01</v>
      </c>
      <c r="L856" s="4">
        <v>6</v>
      </c>
      <c r="M856" s="3">
        <v>0.23</v>
      </c>
      <c r="N856" s="2">
        <v>-668.36</v>
      </c>
    </row>
    <row r="857" spans="1:14" x14ac:dyDescent="0.3">
      <c r="A857" t="s">
        <v>2236</v>
      </c>
      <c r="B857" s="1">
        <v>45133</v>
      </c>
      <c r="C857" t="s">
        <v>2237</v>
      </c>
      <c r="D857" t="s">
        <v>85</v>
      </c>
      <c r="E857" t="s">
        <v>17</v>
      </c>
      <c r="F857" t="s">
        <v>18</v>
      </c>
      <c r="G857" t="s">
        <v>19</v>
      </c>
      <c r="H857" t="s">
        <v>20</v>
      </c>
      <c r="I857" t="s">
        <v>29</v>
      </c>
      <c r="J857" t="s">
        <v>106</v>
      </c>
      <c r="K857" s="2">
        <v>45761.22</v>
      </c>
      <c r="L857" s="4">
        <v>1</v>
      </c>
      <c r="M857" s="3">
        <v>0.14000000000000001</v>
      </c>
      <c r="N857" s="2">
        <v>1372.84</v>
      </c>
    </row>
    <row r="858" spans="1:14" x14ac:dyDescent="0.3">
      <c r="A858" t="s">
        <v>2106</v>
      </c>
      <c r="B858" s="1">
        <v>45134</v>
      </c>
      <c r="C858" t="s">
        <v>688</v>
      </c>
      <c r="D858" t="s">
        <v>25</v>
      </c>
      <c r="E858" t="s">
        <v>51</v>
      </c>
      <c r="F858" t="s">
        <v>46</v>
      </c>
      <c r="G858" t="s">
        <v>46</v>
      </c>
      <c r="H858" t="s">
        <v>47</v>
      </c>
      <c r="I858" t="s">
        <v>29</v>
      </c>
      <c r="J858" t="s">
        <v>106</v>
      </c>
      <c r="K858" s="2">
        <v>12188.27</v>
      </c>
      <c r="L858" s="4">
        <v>2</v>
      </c>
      <c r="M858" s="3">
        <v>0.05</v>
      </c>
      <c r="N858" s="2">
        <v>914.12</v>
      </c>
    </row>
    <row r="859" spans="1:14" x14ac:dyDescent="0.3">
      <c r="A859" t="s">
        <v>2064</v>
      </c>
      <c r="B859" s="1">
        <v>45134</v>
      </c>
      <c r="C859" t="s">
        <v>2065</v>
      </c>
      <c r="D859" t="s">
        <v>33</v>
      </c>
      <c r="E859" t="s">
        <v>17</v>
      </c>
      <c r="F859" t="s">
        <v>79</v>
      </c>
      <c r="G859" t="s">
        <v>80</v>
      </c>
      <c r="H859" t="s">
        <v>47</v>
      </c>
      <c r="I859" t="s">
        <v>21</v>
      </c>
      <c r="J859" t="s">
        <v>54</v>
      </c>
      <c r="K859" s="2">
        <v>14628.39</v>
      </c>
      <c r="L859" s="4">
        <v>2</v>
      </c>
      <c r="M859" s="3">
        <v>0.17</v>
      </c>
      <c r="N859" s="2">
        <v>219.43</v>
      </c>
    </row>
    <row r="860" spans="1:14" x14ac:dyDescent="0.3">
      <c r="A860" t="s">
        <v>1704</v>
      </c>
      <c r="B860" s="1">
        <v>45134</v>
      </c>
      <c r="C860" t="s">
        <v>620</v>
      </c>
      <c r="D860" t="s">
        <v>57</v>
      </c>
      <c r="E860" t="s">
        <v>26</v>
      </c>
      <c r="F860" t="s">
        <v>46</v>
      </c>
      <c r="G860" t="s">
        <v>46</v>
      </c>
      <c r="H860" t="s">
        <v>47</v>
      </c>
      <c r="I860" t="s">
        <v>21</v>
      </c>
      <c r="J860" t="s">
        <v>22</v>
      </c>
      <c r="K860" s="2">
        <v>6910.25</v>
      </c>
      <c r="L860" s="4">
        <v>4</v>
      </c>
      <c r="M860" s="3">
        <v>0.18</v>
      </c>
      <c r="N860" s="2">
        <v>69.099999999999994</v>
      </c>
    </row>
    <row r="861" spans="1:14" x14ac:dyDescent="0.3">
      <c r="A861" t="s">
        <v>802</v>
      </c>
      <c r="B861" s="1">
        <v>45134</v>
      </c>
      <c r="C861" t="s">
        <v>523</v>
      </c>
      <c r="D861" t="s">
        <v>16</v>
      </c>
      <c r="E861" t="s">
        <v>17</v>
      </c>
      <c r="F861" t="s">
        <v>40</v>
      </c>
      <c r="G861" t="s">
        <v>41</v>
      </c>
      <c r="H861" t="s">
        <v>42</v>
      </c>
      <c r="I861" t="s">
        <v>21</v>
      </c>
      <c r="J861" t="s">
        <v>37</v>
      </c>
      <c r="K861" s="2">
        <v>29013.99</v>
      </c>
      <c r="L861" s="4">
        <v>7</v>
      </c>
      <c r="M861" s="3">
        <v>0.05</v>
      </c>
      <c r="N861" s="2">
        <v>2176.0500000000002</v>
      </c>
    </row>
    <row r="862" spans="1:14" x14ac:dyDescent="0.3">
      <c r="A862" t="s">
        <v>1533</v>
      </c>
      <c r="B862" s="1">
        <v>45135</v>
      </c>
      <c r="C862" t="s">
        <v>1534</v>
      </c>
      <c r="D862" t="s">
        <v>33</v>
      </c>
      <c r="E862" t="s">
        <v>51</v>
      </c>
      <c r="F862" t="s">
        <v>18</v>
      </c>
      <c r="G862" t="s">
        <v>19</v>
      </c>
      <c r="H862" t="s">
        <v>20</v>
      </c>
      <c r="I862" t="s">
        <v>21</v>
      </c>
      <c r="J862" t="s">
        <v>37</v>
      </c>
      <c r="K862" s="2">
        <v>28954.97</v>
      </c>
      <c r="L862" s="4">
        <v>9</v>
      </c>
      <c r="M862" s="3">
        <v>0.15</v>
      </c>
      <c r="N862" s="2">
        <v>723.87</v>
      </c>
    </row>
    <row r="863" spans="1:14" x14ac:dyDescent="0.3">
      <c r="A863" t="s">
        <v>2015</v>
      </c>
      <c r="B863" s="1">
        <v>45135</v>
      </c>
      <c r="C863" t="s">
        <v>948</v>
      </c>
      <c r="D863" t="s">
        <v>25</v>
      </c>
      <c r="E863" t="s">
        <v>17</v>
      </c>
      <c r="F863" t="s">
        <v>46</v>
      </c>
      <c r="G863" t="s">
        <v>46</v>
      </c>
      <c r="H863" t="s">
        <v>47</v>
      </c>
      <c r="I863" t="s">
        <v>29</v>
      </c>
      <c r="J863" t="s">
        <v>54</v>
      </c>
      <c r="K863" s="2">
        <v>21864.21</v>
      </c>
      <c r="L863" s="4">
        <v>2</v>
      </c>
      <c r="M863" s="3">
        <v>0.21</v>
      </c>
      <c r="N863" s="2">
        <v>-109.32</v>
      </c>
    </row>
    <row r="864" spans="1:14" x14ac:dyDescent="0.3">
      <c r="A864" t="s">
        <v>1490</v>
      </c>
      <c r="B864" s="1">
        <v>45135</v>
      </c>
      <c r="C864" t="s">
        <v>365</v>
      </c>
      <c r="D864" t="s">
        <v>16</v>
      </c>
      <c r="E864" t="s">
        <v>26</v>
      </c>
      <c r="F864" t="s">
        <v>18</v>
      </c>
      <c r="G864" t="s">
        <v>19</v>
      </c>
      <c r="H864" t="s">
        <v>20</v>
      </c>
      <c r="I864" t="s">
        <v>21</v>
      </c>
      <c r="J864" t="s">
        <v>37</v>
      </c>
      <c r="K864" s="2">
        <v>35088.699999999997</v>
      </c>
      <c r="L864" s="4">
        <v>3</v>
      </c>
      <c r="M864" s="3">
        <v>0.21</v>
      </c>
      <c r="N864" s="2">
        <v>-175.44</v>
      </c>
    </row>
    <row r="865" spans="1:14" x14ac:dyDescent="0.3">
      <c r="A865" t="s">
        <v>1640</v>
      </c>
      <c r="B865" s="1">
        <v>45136</v>
      </c>
      <c r="C865" t="s">
        <v>519</v>
      </c>
      <c r="D865" t="s">
        <v>61</v>
      </c>
      <c r="E865" t="s">
        <v>26</v>
      </c>
      <c r="F865" t="s">
        <v>18</v>
      </c>
      <c r="G865" t="s">
        <v>19</v>
      </c>
      <c r="H865" t="s">
        <v>20</v>
      </c>
      <c r="I865" t="s">
        <v>21</v>
      </c>
      <c r="J865" t="s">
        <v>64</v>
      </c>
      <c r="K865" s="2">
        <v>3519.41</v>
      </c>
      <c r="L865" s="4">
        <v>8</v>
      </c>
      <c r="M865" s="3">
        <v>0.18</v>
      </c>
      <c r="N865" s="2">
        <v>35.19</v>
      </c>
    </row>
    <row r="866" spans="1:14" x14ac:dyDescent="0.3">
      <c r="A866" t="s">
        <v>1680</v>
      </c>
      <c r="B866" s="1">
        <v>45136</v>
      </c>
      <c r="C866" t="s">
        <v>421</v>
      </c>
      <c r="D866" t="s">
        <v>61</v>
      </c>
      <c r="E866" t="s">
        <v>51</v>
      </c>
      <c r="F866" t="s">
        <v>40</v>
      </c>
      <c r="G866" t="s">
        <v>41</v>
      </c>
      <c r="H866" t="s">
        <v>42</v>
      </c>
      <c r="I866" t="s">
        <v>21</v>
      </c>
      <c r="J866" t="s">
        <v>54</v>
      </c>
      <c r="K866" s="2">
        <v>16032.2</v>
      </c>
      <c r="L866" s="4">
        <v>2</v>
      </c>
      <c r="M866" s="3">
        <v>0.22</v>
      </c>
      <c r="N866" s="2">
        <v>-160.32</v>
      </c>
    </row>
    <row r="867" spans="1:14" x14ac:dyDescent="0.3">
      <c r="A867" t="s">
        <v>1981</v>
      </c>
      <c r="B867" s="1">
        <v>45136</v>
      </c>
      <c r="C867" t="s">
        <v>1249</v>
      </c>
      <c r="D867" t="s">
        <v>57</v>
      </c>
      <c r="E867" t="s">
        <v>17</v>
      </c>
      <c r="F867" t="s">
        <v>34</v>
      </c>
      <c r="G867" t="s">
        <v>35</v>
      </c>
      <c r="H867" t="s">
        <v>36</v>
      </c>
      <c r="I867" t="s">
        <v>29</v>
      </c>
      <c r="J867" t="s">
        <v>64</v>
      </c>
      <c r="K867" s="2">
        <v>16323.22</v>
      </c>
      <c r="L867" s="4">
        <v>1</v>
      </c>
      <c r="M867" s="3">
        <v>0.15</v>
      </c>
      <c r="N867" s="2">
        <v>408.08</v>
      </c>
    </row>
    <row r="868" spans="1:14" x14ac:dyDescent="0.3">
      <c r="A868" t="s">
        <v>590</v>
      </c>
      <c r="B868" s="1">
        <v>45137</v>
      </c>
      <c r="C868" t="s">
        <v>591</v>
      </c>
      <c r="D868" t="s">
        <v>57</v>
      </c>
      <c r="E868" t="s">
        <v>26</v>
      </c>
      <c r="F868" t="s">
        <v>27</v>
      </c>
      <c r="G868" t="s">
        <v>28</v>
      </c>
      <c r="H868" t="s">
        <v>20</v>
      </c>
      <c r="I868" t="s">
        <v>43</v>
      </c>
      <c r="J868" t="s">
        <v>64</v>
      </c>
      <c r="K868" s="2">
        <v>36438.120000000003</v>
      </c>
      <c r="L868" s="4">
        <v>9</v>
      </c>
      <c r="M868" s="3">
        <v>0.16</v>
      </c>
      <c r="N868" s="2">
        <v>728.76</v>
      </c>
    </row>
    <row r="869" spans="1:14" x14ac:dyDescent="0.3">
      <c r="A869" t="s">
        <v>1344</v>
      </c>
      <c r="B869" s="1">
        <v>45137</v>
      </c>
      <c r="C869" t="s">
        <v>1345</v>
      </c>
      <c r="D869" t="s">
        <v>25</v>
      </c>
      <c r="E869" t="s">
        <v>26</v>
      </c>
      <c r="F869" t="s">
        <v>18</v>
      </c>
      <c r="G869" t="s">
        <v>19</v>
      </c>
      <c r="H869" t="s">
        <v>20</v>
      </c>
      <c r="I869" t="s">
        <v>29</v>
      </c>
      <c r="J869" t="s">
        <v>106</v>
      </c>
      <c r="K869" s="2">
        <v>4959.9399999999996</v>
      </c>
      <c r="L869" s="4">
        <v>5</v>
      </c>
      <c r="M869" s="3">
        <v>0.02</v>
      </c>
      <c r="N869" s="2">
        <v>446.39</v>
      </c>
    </row>
    <row r="870" spans="1:14" x14ac:dyDescent="0.3">
      <c r="A870" t="s">
        <v>1781</v>
      </c>
      <c r="B870" s="1">
        <v>45137</v>
      </c>
      <c r="C870" t="s">
        <v>512</v>
      </c>
      <c r="D870" t="s">
        <v>50</v>
      </c>
      <c r="E870" t="s">
        <v>17</v>
      </c>
      <c r="F870" t="s">
        <v>40</v>
      </c>
      <c r="G870" t="s">
        <v>41</v>
      </c>
      <c r="H870" t="s">
        <v>42</v>
      </c>
      <c r="I870" t="s">
        <v>21</v>
      </c>
      <c r="J870" t="s">
        <v>30</v>
      </c>
      <c r="K870" s="2">
        <v>41411.74</v>
      </c>
      <c r="L870" s="4">
        <v>6</v>
      </c>
      <c r="M870" s="3">
        <v>0.18</v>
      </c>
      <c r="N870" s="2">
        <v>414.12</v>
      </c>
    </row>
    <row r="871" spans="1:14" x14ac:dyDescent="0.3">
      <c r="A871" t="s">
        <v>1793</v>
      </c>
      <c r="B871" s="1">
        <v>45137</v>
      </c>
      <c r="C871" t="s">
        <v>1536</v>
      </c>
      <c r="D871" t="s">
        <v>16</v>
      </c>
      <c r="E871" t="s">
        <v>17</v>
      </c>
      <c r="F871" t="s">
        <v>79</v>
      </c>
      <c r="G871" t="s">
        <v>80</v>
      </c>
      <c r="H871" t="s">
        <v>47</v>
      </c>
      <c r="I871" t="s">
        <v>29</v>
      </c>
      <c r="J871" t="s">
        <v>37</v>
      </c>
      <c r="K871" s="2">
        <v>17925.599999999999</v>
      </c>
      <c r="L871" s="4">
        <v>2</v>
      </c>
      <c r="M871" s="3">
        <v>0.09</v>
      </c>
      <c r="N871" s="2">
        <v>985.91</v>
      </c>
    </row>
    <row r="872" spans="1:14" x14ac:dyDescent="0.3">
      <c r="A872" t="s">
        <v>1992</v>
      </c>
      <c r="B872" s="1">
        <v>45137</v>
      </c>
      <c r="C872" t="s">
        <v>110</v>
      </c>
      <c r="D872" t="s">
        <v>25</v>
      </c>
      <c r="E872" t="s">
        <v>17</v>
      </c>
      <c r="F872" t="s">
        <v>40</v>
      </c>
      <c r="G872" t="s">
        <v>41</v>
      </c>
      <c r="H872" t="s">
        <v>42</v>
      </c>
      <c r="I872" t="s">
        <v>43</v>
      </c>
      <c r="J872" t="s">
        <v>64</v>
      </c>
      <c r="K872" s="2">
        <v>7091.3</v>
      </c>
      <c r="L872" s="4">
        <v>1</v>
      </c>
      <c r="M872" s="3">
        <v>0.2</v>
      </c>
      <c r="N872" s="2">
        <v>0</v>
      </c>
    </row>
    <row r="873" spans="1:14" x14ac:dyDescent="0.3">
      <c r="A873" t="s">
        <v>465</v>
      </c>
      <c r="B873" s="1">
        <v>45138</v>
      </c>
      <c r="C873" t="s">
        <v>466</v>
      </c>
      <c r="D873" t="s">
        <v>57</v>
      </c>
      <c r="E873" t="s">
        <v>26</v>
      </c>
      <c r="F873" t="s">
        <v>79</v>
      </c>
      <c r="G873" t="s">
        <v>80</v>
      </c>
      <c r="H873" t="s">
        <v>47</v>
      </c>
      <c r="I873" t="s">
        <v>21</v>
      </c>
      <c r="J873" t="s">
        <v>64</v>
      </c>
      <c r="K873" s="2">
        <v>43353.760000000002</v>
      </c>
      <c r="L873" s="4">
        <v>3</v>
      </c>
      <c r="M873" s="3">
        <v>0.02</v>
      </c>
      <c r="N873" s="2">
        <v>3901.84</v>
      </c>
    </row>
    <row r="874" spans="1:14" x14ac:dyDescent="0.3">
      <c r="A874" t="s">
        <v>518</v>
      </c>
      <c r="B874" s="1">
        <v>45138</v>
      </c>
      <c r="C874" t="s">
        <v>519</v>
      </c>
      <c r="D874" t="s">
        <v>85</v>
      </c>
      <c r="E874" t="s">
        <v>26</v>
      </c>
      <c r="F874" t="s">
        <v>46</v>
      </c>
      <c r="G874" t="s">
        <v>46</v>
      </c>
      <c r="H874" t="s">
        <v>47</v>
      </c>
      <c r="I874" t="s">
        <v>43</v>
      </c>
      <c r="J874" t="s">
        <v>106</v>
      </c>
      <c r="K874" s="2">
        <v>30924.94</v>
      </c>
      <c r="L874" s="4">
        <v>8</v>
      </c>
      <c r="M874" s="3">
        <v>0.18</v>
      </c>
      <c r="N874" s="2">
        <v>309.25</v>
      </c>
    </row>
    <row r="875" spans="1:14" x14ac:dyDescent="0.3">
      <c r="A875" t="s">
        <v>898</v>
      </c>
      <c r="B875" s="1">
        <v>45138</v>
      </c>
      <c r="C875" t="s">
        <v>871</v>
      </c>
      <c r="D875" t="s">
        <v>57</v>
      </c>
      <c r="E875" t="s">
        <v>17</v>
      </c>
      <c r="F875" t="s">
        <v>18</v>
      </c>
      <c r="G875" t="s">
        <v>19</v>
      </c>
      <c r="H875" t="s">
        <v>20</v>
      </c>
      <c r="I875" t="s">
        <v>21</v>
      </c>
      <c r="J875" t="s">
        <v>37</v>
      </c>
      <c r="K875" s="2">
        <v>5536.65</v>
      </c>
      <c r="L875" s="4">
        <v>7</v>
      </c>
      <c r="M875" s="3">
        <v>7.0000000000000007E-2</v>
      </c>
      <c r="N875" s="2">
        <v>359.88</v>
      </c>
    </row>
    <row r="876" spans="1:14" x14ac:dyDescent="0.3">
      <c r="A876" t="s">
        <v>965</v>
      </c>
      <c r="B876" s="1">
        <v>45138</v>
      </c>
      <c r="C876" t="s">
        <v>718</v>
      </c>
      <c r="D876" t="s">
        <v>50</v>
      </c>
      <c r="E876" t="s">
        <v>26</v>
      </c>
      <c r="F876" t="s">
        <v>34</v>
      </c>
      <c r="G876" t="s">
        <v>35</v>
      </c>
      <c r="H876" t="s">
        <v>36</v>
      </c>
      <c r="I876" t="s">
        <v>29</v>
      </c>
      <c r="J876" t="s">
        <v>58</v>
      </c>
      <c r="K876" s="2">
        <v>21146.42</v>
      </c>
      <c r="L876" s="4">
        <v>10</v>
      </c>
      <c r="M876" s="3">
        <v>0.12</v>
      </c>
      <c r="N876" s="2">
        <v>845.86</v>
      </c>
    </row>
    <row r="877" spans="1:14" x14ac:dyDescent="0.3">
      <c r="A877" t="s">
        <v>1665</v>
      </c>
      <c r="B877" s="1">
        <v>45138</v>
      </c>
      <c r="C877" t="s">
        <v>1666</v>
      </c>
      <c r="D877" t="s">
        <v>33</v>
      </c>
      <c r="E877" t="s">
        <v>26</v>
      </c>
      <c r="F877" t="s">
        <v>27</v>
      </c>
      <c r="G877" t="s">
        <v>28</v>
      </c>
      <c r="H877" t="s">
        <v>20</v>
      </c>
      <c r="I877" t="s">
        <v>21</v>
      </c>
      <c r="J877" t="s">
        <v>58</v>
      </c>
      <c r="K877" s="2">
        <v>27283.49</v>
      </c>
      <c r="L877" s="4">
        <v>4</v>
      </c>
      <c r="M877" s="3">
        <v>0.11</v>
      </c>
      <c r="N877" s="2">
        <v>1227.76</v>
      </c>
    </row>
    <row r="878" spans="1:14" x14ac:dyDescent="0.3">
      <c r="A878" t="s">
        <v>236</v>
      </c>
      <c r="B878" s="1">
        <v>45138</v>
      </c>
      <c r="C878" t="s">
        <v>237</v>
      </c>
      <c r="D878" t="s">
        <v>25</v>
      </c>
      <c r="E878" t="s">
        <v>17</v>
      </c>
      <c r="F878" t="s">
        <v>79</v>
      </c>
      <c r="G878" t="s">
        <v>80</v>
      </c>
      <c r="H878" t="s">
        <v>47</v>
      </c>
      <c r="I878" t="s">
        <v>29</v>
      </c>
      <c r="J878" t="s">
        <v>22</v>
      </c>
      <c r="K878" s="2">
        <v>15301.23</v>
      </c>
      <c r="L878" s="4">
        <v>5</v>
      </c>
      <c r="M878" s="3">
        <v>0.2</v>
      </c>
      <c r="N878" s="2">
        <v>0</v>
      </c>
    </row>
    <row r="879" spans="1:14" x14ac:dyDescent="0.3">
      <c r="A879" t="s">
        <v>1331</v>
      </c>
      <c r="B879" s="1">
        <v>45138</v>
      </c>
      <c r="C879" t="s">
        <v>922</v>
      </c>
      <c r="D879" t="s">
        <v>16</v>
      </c>
      <c r="E879" t="s">
        <v>26</v>
      </c>
      <c r="F879" t="s">
        <v>79</v>
      </c>
      <c r="G879" t="s">
        <v>80</v>
      </c>
      <c r="H879" t="s">
        <v>47</v>
      </c>
      <c r="I879" t="s">
        <v>21</v>
      </c>
      <c r="J879" t="s">
        <v>106</v>
      </c>
      <c r="K879" s="2">
        <v>21649.93</v>
      </c>
      <c r="L879" s="4">
        <v>5</v>
      </c>
      <c r="M879" s="3">
        <v>0.17</v>
      </c>
      <c r="N879" s="2">
        <v>324.75</v>
      </c>
    </row>
    <row r="880" spans="1:14" x14ac:dyDescent="0.3">
      <c r="A880" t="s">
        <v>1589</v>
      </c>
      <c r="B880" s="1">
        <v>45139</v>
      </c>
      <c r="C880" t="s">
        <v>964</v>
      </c>
      <c r="D880" t="s">
        <v>61</v>
      </c>
      <c r="E880" t="s">
        <v>51</v>
      </c>
      <c r="F880" t="s">
        <v>79</v>
      </c>
      <c r="G880" t="s">
        <v>80</v>
      </c>
      <c r="H880" t="s">
        <v>47</v>
      </c>
      <c r="I880" t="s">
        <v>43</v>
      </c>
      <c r="J880" t="s">
        <v>58</v>
      </c>
      <c r="K880" s="2">
        <v>2960.58</v>
      </c>
      <c r="L880" s="4">
        <v>5</v>
      </c>
      <c r="M880" s="3">
        <v>0.13</v>
      </c>
      <c r="N880" s="2">
        <v>103.62</v>
      </c>
    </row>
    <row r="881" spans="1:14" x14ac:dyDescent="0.3">
      <c r="A881" t="s">
        <v>1834</v>
      </c>
      <c r="B881" s="1">
        <v>45139</v>
      </c>
      <c r="C881" t="s">
        <v>1835</v>
      </c>
      <c r="D881" t="s">
        <v>16</v>
      </c>
      <c r="E881" t="s">
        <v>17</v>
      </c>
      <c r="F881" t="s">
        <v>40</v>
      </c>
      <c r="G881" t="s">
        <v>41</v>
      </c>
      <c r="H881" t="s">
        <v>42</v>
      </c>
      <c r="I881" t="s">
        <v>29</v>
      </c>
      <c r="J881" t="s">
        <v>22</v>
      </c>
      <c r="K881" s="2">
        <v>17217.990000000002</v>
      </c>
      <c r="L881" s="4">
        <v>3</v>
      </c>
      <c r="M881" s="3">
        <v>0.09</v>
      </c>
      <c r="N881" s="2">
        <v>946.99</v>
      </c>
    </row>
    <row r="882" spans="1:14" x14ac:dyDescent="0.3">
      <c r="A882" t="s">
        <v>1366</v>
      </c>
      <c r="B882" s="1">
        <v>45139</v>
      </c>
      <c r="C882" t="s">
        <v>1367</v>
      </c>
      <c r="D882" t="s">
        <v>33</v>
      </c>
      <c r="E882" t="s">
        <v>51</v>
      </c>
      <c r="F882" t="s">
        <v>27</v>
      </c>
      <c r="G882" t="s">
        <v>28</v>
      </c>
      <c r="H882" t="s">
        <v>20</v>
      </c>
      <c r="I882" t="s">
        <v>29</v>
      </c>
      <c r="J882" t="s">
        <v>64</v>
      </c>
      <c r="K882" s="2">
        <v>27556.55</v>
      </c>
      <c r="L882" s="4">
        <v>7</v>
      </c>
      <c r="M882" s="3">
        <v>0.14000000000000001</v>
      </c>
      <c r="N882" s="2">
        <v>826.7</v>
      </c>
    </row>
    <row r="883" spans="1:14" x14ac:dyDescent="0.3">
      <c r="A883" t="s">
        <v>253</v>
      </c>
      <c r="B883" s="1">
        <v>45139</v>
      </c>
      <c r="C883" t="s">
        <v>248</v>
      </c>
      <c r="D883" t="s">
        <v>61</v>
      </c>
      <c r="E883" t="s">
        <v>17</v>
      </c>
      <c r="F883" t="s">
        <v>27</v>
      </c>
      <c r="G883" t="s">
        <v>28</v>
      </c>
      <c r="H883" t="s">
        <v>20</v>
      </c>
      <c r="I883" t="s">
        <v>43</v>
      </c>
      <c r="J883" t="s">
        <v>22</v>
      </c>
      <c r="K883" s="2">
        <v>26627.27</v>
      </c>
      <c r="L883" s="4">
        <v>6</v>
      </c>
      <c r="M883" s="3">
        <v>0.1</v>
      </c>
      <c r="N883" s="2">
        <v>1331.36</v>
      </c>
    </row>
    <row r="884" spans="1:14" x14ac:dyDescent="0.3">
      <c r="A884" t="s">
        <v>1220</v>
      </c>
      <c r="B884" s="1">
        <v>45140</v>
      </c>
      <c r="C884" t="s">
        <v>1205</v>
      </c>
      <c r="D884" t="s">
        <v>25</v>
      </c>
      <c r="E884" t="s">
        <v>17</v>
      </c>
      <c r="F884" t="s">
        <v>18</v>
      </c>
      <c r="G884" t="s">
        <v>19</v>
      </c>
      <c r="H884" t="s">
        <v>20</v>
      </c>
      <c r="I884" t="s">
        <v>21</v>
      </c>
      <c r="J884" t="s">
        <v>37</v>
      </c>
      <c r="K884" s="2">
        <v>18041.86</v>
      </c>
      <c r="L884" s="4">
        <v>3</v>
      </c>
      <c r="M884" s="3">
        <v>0.2</v>
      </c>
      <c r="N884" s="2">
        <v>0</v>
      </c>
    </row>
    <row r="885" spans="1:14" x14ac:dyDescent="0.3">
      <c r="A885" t="s">
        <v>1166</v>
      </c>
      <c r="B885" s="1">
        <v>45140</v>
      </c>
      <c r="C885" t="s">
        <v>1167</v>
      </c>
      <c r="D885" t="s">
        <v>57</v>
      </c>
      <c r="E885" t="s">
        <v>51</v>
      </c>
      <c r="F885" t="s">
        <v>34</v>
      </c>
      <c r="G885" t="s">
        <v>35</v>
      </c>
      <c r="H885" t="s">
        <v>36</v>
      </c>
      <c r="I885" t="s">
        <v>29</v>
      </c>
      <c r="J885" t="s">
        <v>64</v>
      </c>
      <c r="K885" s="2">
        <v>23949.47</v>
      </c>
      <c r="L885" s="4">
        <v>5</v>
      </c>
      <c r="M885" s="3">
        <v>0.06</v>
      </c>
      <c r="N885" s="2">
        <v>1676.46</v>
      </c>
    </row>
    <row r="886" spans="1:14" x14ac:dyDescent="0.3">
      <c r="A886" t="s">
        <v>125</v>
      </c>
      <c r="B886" s="1">
        <v>45140</v>
      </c>
      <c r="C886" t="s">
        <v>126</v>
      </c>
      <c r="D886" t="s">
        <v>61</v>
      </c>
      <c r="E886" t="s">
        <v>26</v>
      </c>
      <c r="F886" t="s">
        <v>40</v>
      </c>
      <c r="G886" t="s">
        <v>41</v>
      </c>
      <c r="H886" t="s">
        <v>42</v>
      </c>
      <c r="I886" t="s">
        <v>29</v>
      </c>
      <c r="J886" t="s">
        <v>64</v>
      </c>
      <c r="K886" s="2">
        <v>37170.86</v>
      </c>
      <c r="L886" s="4">
        <v>3</v>
      </c>
      <c r="M886" s="3">
        <v>0.12</v>
      </c>
      <c r="N886" s="2">
        <v>1486.83</v>
      </c>
    </row>
    <row r="887" spans="1:14" x14ac:dyDescent="0.3">
      <c r="A887" t="s">
        <v>245</v>
      </c>
      <c r="B887" s="1">
        <v>45141</v>
      </c>
      <c r="C887" t="s">
        <v>246</v>
      </c>
      <c r="D887" t="s">
        <v>85</v>
      </c>
      <c r="E887" t="s">
        <v>26</v>
      </c>
      <c r="F887" t="s">
        <v>46</v>
      </c>
      <c r="G887" t="s">
        <v>46</v>
      </c>
      <c r="H887" t="s">
        <v>47</v>
      </c>
      <c r="I887" t="s">
        <v>43</v>
      </c>
      <c r="J887" t="s">
        <v>30</v>
      </c>
      <c r="K887" s="2">
        <v>20692.96</v>
      </c>
      <c r="L887" s="4">
        <v>3</v>
      </c>
      <c r="M887" s="3">
        <v>0.12</v>
      </c>
      <c r="N887" s="2">
        <v>827.72</v>
      </c>
    </row>
    <row r="888" spans="1:14" x14ac:dyDescent="0.3">
      <c r="A888" t="s">
        <v>630</v>
      </c>
      <c r="B888" s="1">
        <v>45141</v>
      </c>
      <c r="C888" t="s">
        <v>631</v>
      </c>
      <c r="D888" t="s">
        <v>85</v>
      </c>
      <c r="E888" t="s">
        <v>51</v>
      </c>
      <c r="F888" t="s">
        <v>27</v>
      </c>
      <c r="G888" t="s">
        <v>28</v>
      </c>
      <c r="H888" t="s">
        <v>20</v>
      </c>
      <c r="I888" t="s">
        <v>21</v>
      </c>
      <c r="J888" t="s">
        <v>37</v>
      </c>
      <c r="K888" s="2">
        <v>46791.85</v>
      </c>
      <c r="L888" s="4">
        <v>10</v>
      </c>
      <c r="M888" s="3">
        <v>0.02</v>
      </c>
      <c r="N888" s="2">
        <v>4211.2700000000004</v>
      </c>
    </row>
    <row r="889" spans="1:14" x14ac:dyDescent="0.3">
      <c r="A889" t="s">
        <v>642</v>
      </c>
      <c r="B889" s="1">
        <v>45141</v>
      </c>
      <c r="C889" t="s">
        <v>643</v>
      </c>
      <c r="D889" t="s">
        <v>61</v>
      </c>
      <c r="E889" t="s">
        <v>26</v>
      </c>
      <c r="F889" t="s">
        <v>34</v>
      </c>
      <c r="G889" t="s">
        <v>35</v>
      </c>
      <c r="H889" t="s">
        <v>36</v>
      </c>
      <c r="I889" t="s">
        <v>43</v>
      </c>
      <c r="J889" t="s">
        <v>54</v>
      </c>
      <c r="K889" s="2">
        <v>20756.61</v>
      </c>
      <c r="L889" s="4">
        <v>1</v>
      </c>
      <c r="M889" s="3">
        <v>0.26</v>
      </c>
      <c r="N889" s="2">
        <v>-622.70000000000005</v>
      </c>
    </row>
    <row r="890" spans="1:14" x14ac:dyDescent="0.3">
      <c r="A890" t="s">
        <v>1171</v>
      </c>
      <c r="B890" s="1">
        <v>45141</v>
      </c>
      <c r="C890" t="s">
        <v>421</v>
      </c>
      <c r="D890" t="s">
        <v>61</v>
      </c>
      <c r="E890" t="s">
        <v>26</v>
      </c>
      <c r="F890" t="s">
        <v>40</v>
      </c>
      <c r="G890" t="s">
        <v>41</v>
      </c>
      <c r="H890" t="s">
        <v>42</v>
      </c>
      <c r="I890" t="s">
        <v>43</v>
      </c>
      <c r="J890" t="s">
        <v>37</v>
      </c>
      <c r="K890" s="2">
        <v>28422.97</v>
      </c>
      <c r="L890" s="4">
        <v>10</v>
      </c>
      <c r="M890" s="3">
        <v>0.03</v>
      </c>
      <c r="N890" s="2">
        <v>2415.9499999999998</v>
      </c>
    </row>
    <row r="891" spans="1:14" x14ac:dyDescent="0.3">
      <c r="A891" t="s">
        <v>1647</v>
      </c>
      <c r="B891" s="1">
        <v>45141</v>
      </c>
      <c r="C891" t="s">
        <v>1561</v>
      </c>
      <c r="D891" t="s">
        <v>61</v>
      </c>
      <c r="E891" t="s">
        <v>51</v>
      </c>
      <c r="F891" t="s">
        <v>18</v>
      </c>
      <c r="G891" t="s">
        <v>19</v>
      </c>
      <c r="H891" t="s">
        <v>20</v>
      </c>
      <c r="I891" t="s">
        <v>21</v>
      </c>
      <c r="J891" t="s">
        <v>22</v>
      </c>
      <c r="K891" s="2">
        <v>21501.29</v>
      </c>
      <c r="L891" s="4">
        <v>5</v>
      </c>
      <c r="M891" s="3">
        <v>0.2</v>
      </c>
      <c r="N891" s="2">
        <v>0</v>
      </c>
    </row>
    <row r="892" spans="1:14" x14ac:dyDescent="0.3">
      <c r="A892" t="s">
        <v>2140</v>
      </c>
      <c r="B892" s="1">
        <v>45141</v>
      </c>
      <c r="C892" t="s">
        <v>1843</v>
      </c>
      <c r="D892" t="s">
        <v>50</v>
      </c>
      <c r="E892" t="s">
        <v>51</v>
      </c>
      <c r="F892" t="s">
        <v>46</v>
      </c>
      <c r="G892" t="s">
        <v>46</v>
      </c>
      <c r="H892" t="s">
        <v>47</v>
      </c>
      <c r="I892" t="s">
        <v>29</v>
      </c>
      <c r="J892" t="s">
        <v>37</v>
      </c>
      <c r="K892" s="2">
        <v>8952.6</v>
      </c>
      <c r="L892" s="4">
        <v>9</v>
      </c>
      <c r="M892" s="3">
        <v>0.26</v>
      </c>
      <c r="N892" s="2">
        <v>-268.58</v>
      </c>
    </row>
    <row r="893" spans="1:14" x14ac:dyDescent="0.3">
      <c r="A893" t="s">
        <v>144</v>
      </c>
      <c r="B893" s="1">
        <v>45141</v>
      </c>
      <c r="C893" t="s">
        <v>145</v>
      </c>
      <c r="D893" t="s">
        <v>50</v>
      </c>
      <c r="E893" t="s">
        <v>26</v>
      </c>
      <c r="F893" t="s">
        <v>40</v>
      </c>
      <c r="G893" t="s">
        <v>41</v>
      </c>
      <c r="H893" t="s">
        <v>42</v>
      </c>
      <c r="I893" t="s">
        <v>21</v>
      </c>
      <c r="J893" t="s">
        <v>37</v>
      </c>
      <c r="K893" s="2">
        <v>1570.68</v>
      </c>
      <c r="L893" s="4">
        <v>7</v>
      </c>
      <c r="M893" s="3">
        <v>0.27</v>
      </c>
      <c r="N893" s="2">
        <v>-54.97</v>
      </c>
    </row>
    <row r="894" spans="1:14" x14ac:dyDescent="0.3">
      <c r="A894" t="s">
        <v>1146</v>
      </c>
      <c r="B894" s="1">
        <v>45141</v>
      </c>
      <c r="C894" t="s">
        <v>1147</v>
      </c>
      <c r="D894" t="s">
        <v>25</v>
      </c>
      <c r="E894" t="s">
        <v>51</v>
      </c>
      <c r="F894" t="s">
        <v>40</v>
      </c>
      <c r="G894" t="s">
        <v>41</v>
      </c>
      <c r="H894" t="s">
        <v>42</v>
      </c>
      <c r="I894" t="s">
        <v>21</v>
      </c>
      <c r="J894" t="s">
        <v>54</v>
      </c>
      <c r="K894" s="2">
        <v>20098.63</v>
      </c>
      <c r="L894" s="4">
        <v>8</v>
      </c>
      <c r="M894" s="3">
        <v>0.14000000000000001</v>
      </c>
      <c r="N894" s="2">
        <v>602.96</v>
      </c>
    </row>
    <row r="895" spans="1:14" x14ac:dyDescent="0.3">
      <c r="A895" t="s">
        <v>117</v>
      </c>
      <c r="B895" s="1">
        <v>45142</v>
      </c>
      <c r="C895" t="s">
        <v>118</v>
      </c>
      <c r="D895" t="s">
        <v>16</v>
      </c>
      <c r="E895" t="s">
        <v>51</v>
      </c>
      <c r="F895" t="s">
        <v>27</v>
      </c>
      <c r="G895" t="s">
        <v>28</v>
      </c>
      <c r="H895" t="s">
        <v>20</v>
      </c>
      <c r="I895" t="s">
        <v>21</v>
      </c>
      <c r="J895" t="s">
        <v>106</v>
      </c>
      <c r="K895" s="2">
        <v>990.07</v>
      </c>
      <c r="L895" s="4">
        <v>1</v>
      </c>
      <c r="M895" s="3">
        <v>0.03</v>
      </c>
      <c r="N895" s="2">
        <v>84.16</v>
      </c>
    </row>
    <row r="896" spans="1:14" x14ac:dyDescent="0.3">
      <c r="A896" t="s">
        <v>1736</v>
      </c>
      <c r="B896" s="1">
        <v>45142</v>
      </c>
      <c r="C896" t="s">
        <v>1348</v>
      </c>
      <c r="D896" t="s">
        <v>61</v>
      </c>
      <c r="E896" t="s">
        <v>17</v>
      </c>
      <c r="F896" t="s">
        <v>18</v>
      </c>
      <c r="G896" t="s">
        <v>19</v>
      </c>
      <c r="H896" t="s">
        <v>20</v>
      </c>
      <c r="I896" t="s">
        <v>21</v>
      </c>
      <c r="J896" t="s">
        <v>54</v>
      </c>
      <c r="K896" s="2">
        <v>39668.620000000003</v>
      </c>
      <c r="L896" s="4">
        <v>2</v>
      </c>
      <c r="M896" s="3">
        <v>0.18</v>
      </c>
      <c r="N896" s="2">
        <v>396.69</v>
      </c>
    </row>
    <row r="897" spans="1:14" x14ac:dyDescent="0.3">
      <c r="A897" t="s">
        <v>2166</v>
      </c>
      <c r="B897" s="1">
        <v>45142</v>
      </c>
      <c r="C897" t="s">
        <v>2167</v>
      </c>
      <c r="D897" t="s">
        <v>85</v>
      </c>
      <c r="E897" t="s">
        <v>26</v>
      </c>
      <c r="F897" t="s">
        <v>27</v>
      </c>
      <c r="G897" t="s">
        <v>28</v>
      </c>
      <c r="H897" t="s">
        <v>20</v>
      </c>
      <c r="I897" t="s">
        <v>21</v>
      </c>
      <c r="J897" t="s">
        <v>54</v>
      </c>
      <c r="K897" s="2">
        <v>35055.14</v>
      </c>
      <c r="L897" s="4">
        <v>8</v>
      </c>
      <c r="M897" s="3">
        <v>0.12</v>
      </c>
      <c r="N897" s="2">
        <v>1402.21</v>
      </c>
    </row>
    <row r="898" spans="1:14" x14ac:dyDescent="0.3">
      <c r="A898" t="s">
        <v>1883</v>
      </c>
      <c r="B898" s="1">
        <v>45142</v>
      </c>
      <c r="C898" t="s">
        <v>562</v>
      </c>
      <c r="D898" t="s">
        <v>61</v>
      </c>
      <c r="E898" t="s">
        <v>17</v>
      </c>
      <c r="F898" t="s">
        <v>79</v>
      </c>
      <c r="G898" t="s">
        <v>80</v>
      </c>
      <c r="H898" t="s">
        <v>47</v>
      </c>
      <c r="I898" t="s">
        <v>43</v>
      </c>
      <c r="J898" t="s">
        <v>58</v>
      </c>
      <c r="K898" s="2">
        <v>37148.86</v>
      </c>
      <c r="L898" s="4">
        <v>2</v>
      </c>
      <c r="M898" s="3">
        <v>0.24</v>
      </c>
      <c r="N898" s="2">
        <v>-742.98</v>
      </c>
    </row>
    <row r="899" spans="1:14" x14ac:dyDescent="0.3">
      <c r="A899" t="s">
        <v>400</v>
      </c>
      <c r="B899" s="1">
        <v>45142</v>
      </c>
      <c r="C899" t="s">
        <v>401</v>
      </c>
      <c r="D899" t="s">
        <v>57</v>
      </c>
      <c r="E899" t="s">
        <v>51</v>
      </c>
      <c r="F899" t="s">
        <v>27</v>
      </c>
      <c r="G899" t="s">
        <v>28</v>
      </c>
      <c r="H899" t="s">
        <v>20</v>
      </c>
      <c r="I899" t="s">
        <v>21</v>
      </c>
      <c r="J899" t="s">
        <v>22</v>
      </c>
      <c r="K899" s="2">
        <v>25989.56</v>
      </c>
      <c r="L899" s="4">
        <v>9</v>
      </c>
      <c r="M899" s="3">
        <v>0.13</v>
      </c>
      <c r="N899" s="2">
        <v>909.63</v>
      </c>
    </row>
    <row r="900" spans="1:14" x14ac:dyDescent="0.3">
      <c r="A900" t="s">
        <v>2194</v>
      </c>
      <c r="B900" s="1">
        <v>45143</v>
      </c>
      <c r="C900" t="s">
        <v>918</v>
      </c>
      <c r="D900" t="s">
        <v>25</v>
      </c>
      <c r="E900" t="s">
        <v>17</v>
      </c>
      <c r="F900" t="s">
        <v>46</v>
      </c>
      <c r="G900" t="s">
        <v>46</v>
      </c>
      <c r="H900" t="s">
        <v>47</v>
      </c>
      <c r="I900" t="s">
        <v>43</v>
      </c>
      <c r="J900" t="s">
        <v>37</v>
      </c>
      <c r="K900" s="2">
        <v>6733.19</v>
      </c>
      <c r="L900" s="4">
        <v>4</v>
      </c>
      <c r="M900" s="3">
        <v>0.28000000000000003</v>
      </c>
      <c r="N900" s="2">
        <v>-269.33</v>
      </c>
    </row>
    <row r="901" spans="1:14" x14ac:dyDescent="0.3">
      <c r="A901" t="s">
        <v>978</v>
      </c>
      <c r="B901" s="1">
        <v>45144</v>
      </c>
      <c r="C901" t="s">
        <v>212</v>
      </c>
      <c r="D901" t="s">
        <v>33</v>
      </c>
      <c r="E901" t="s">
        <v>51</v>
      </c>
      <c r="F901" t="s">
        <v>34</v>
      </c>
      <c r="G901" t="s">
        <v>35</v>
      </c>
      <c r="H901" t="s">
        <v>36</v>
      </c>
      <c r="I901" t="s">
        <v>43</v>
      </c>
      <c r="J901" t="s">
        <v>30</v>
      </c>
      <c r="K901" s="2">
        <v>37716.550000000003</v>
      </c>
      <c r="L901" s="4">
        <v>9</v>
      </c>
      <c r="M901" s="3">
        <v>0.22</v>
      </c>
      <c r="N901" s="2">
        <v>-377.17</v>
      </c>
    </row>
    <row r="902" spans="1:14" x14ac:dyDescent="0.3">
      <c r="A902" t="s">
        <v>675</v>
      </c>
      <c r="B902" s="1">
        <v>45144</v>
      </c>
      <c r="C902" t="s">
        <v>676</v>
      </c>
      <c r="D902" t="s">
        <v>57</v>
      </c>
      <c r="E902" t="s">
        <v>26</v>
      </c>
      <c r="F902" t="s">
        <v>34</v>
      </c>
      <c r="G902" t="s">
        <v>35</v>
      </c>
      <c r="H902" t="s">
        <v>36</v>
      </c>
      <c r="I902" t="s">
        <v>29</v>
      </c>
      <c r="J902" t="s">
        <v>58</v>
      </c>
      <c r="K902" s="2">
        <v>14456.14</v>
      </c>
      <c r="L902" s="4">
        <v>9</v>
      </c>
      <c r="M902" s="3">
        <v>0.23</v>
      </c>
      <c r="N902" s="2">
        <v>-216.84</v>
      </c>
    </row>
    <row r="903" spans="1:14" x14ac:dyDescent="0.3">
      <c r="A903" t="s">
        <v>1468</v>
      </c>
      <c r="B903" s="1">
        <v>45144</v>
      </c>
      <c r="C903" t="s">
        <v>739</v>
      </c>
      <c r="D903" t="s">
        <v>61</v>
      </c>
      <c r="E903" t="s">
        <v>17</v>
      </c>
      <c r="F903" t="s">
        <v>46</v>
      </c>
      <c r="G903" t="s">
        <v>46</v>
      </c>
      <c r="H903" t="s">
        <v>47</v>
      </c>
      <c r="I903" t="s">
        <v>29</v>
      </c>
      <c r="J903" t="s">
        <v>37</v>
      </c>
      <c r="K903" s="2">
        <v>34912.730000000003</v>
      </c>
      <c r="L903" s="4">
        <v>7</v>
      </c>
      <c r="M903" s="3">
        <v>0.11</v>
      </c>
      <c r="N903" s="2">
        <v>1571.07</v>
      </c>
    </row>
    <row r="904" spans="1:14" x14ac:dyDescent="0.3">
      <c r="A904" t="s">
        <v>141</v>
      </c>
      <c r="B904" s="1">
        <v>45144</v>
      </c>
      <c r="C904" t="s">
        <v>74</v>
      </c>
      <c r="D904" t="s">
        <v>33</v>
      </c>
      <c r="E904" t="s">
        <v>17</v>
      </c>
      <c r="F904" t="s">
        <v>34</v>
      </c>
      <c r="G904" t="s">
        <v>35</v>
      </c>
      <c r="H904" t="s">
        <v>36</v>
      </c>
      <c r="I904" t="s">
        <v>43</v>
      </c>
      <c r="J904" t="s">
        <v>22</v>
      </c>
      <c r="K904" s="2">
        <v>44416.74</v>
      </c>
      <c r="L904" s="4">
        <v>6</v>
      </c>
      <c r="M904" s="3">
        <v>0.12</v>
      </c>
      <c r="N904" s="2">
        <v>1776.67</v>
      </c>
    </row>
    <row r="905" spans="1:14" x14ac:dyDescent="0.3">
      <c r="A905" t="s">
        <v>1346</v>
      </c>
      <c r="B905" s="1">
        <v>45145</v>
      </c>
      <c r="C905" t="s">
        <v>624</v>
      </c>
      <c r="D905" t="s">
        <v>16</v>
      </c>
      <c r="E905" t="s">
        <v>26</v>
      </c>
      <c r="F905" t="s">
        <v>79</v>
      </c>
      <c r="G905" t="s">
        <v>80</v>
      </c>
      <c r="H905" t="s">
        <v>47</v>
      </c>
      <c r="I905" t="s">
        <v>29</v>
      </c>
      <c r="J905" t="s">
        <v>37</v>
      </c>
      <c r="K905" s="2">
        <v>37971.01</v>
      </c>
      <c r="L905" s="4">
        <v>8</v>
      </c>
      <c r="M905" s="3">
        <v>0.1</v>
      </c>
      <c r="N905" s="2">
        <v>1898.55</v>
      </c>
    </row>
    <row r="906" spans="1:14" x14ac:dyDescent="0.3">
      <c r="A906" t="s">
        <v>2144</v>
      </c>
      <c r="B906" s="1">
        <v>45145</v>
      </c>
      <c r="C906" t="s">
        <v>2145</v>
      </c>
      <c r="D906" t="s">
        <v>33</v>
      </c>
      <c r="E906" t="s">
        <v>26</v>
      </c>
      <c r="F906" t="s">
        <v>27</v>
      </c>
      <c r="G906" t="s">
        <v>28</v>
      </c>
      <c r="H906" t="s">
        <v>20</v>
      </c>
      <c r="I906" t="s">
        <v>21</v>
      </c>
      <c r="J906" t="s">
        <v>106</v>
      </c>
      <c r="K906" s="2">
        <v>33173.18</v>
      </c>
      <c r="L906" s="4">
        <v>5</v>
      </c>
      <c r="M906" s="3">
        <v>0.3</v>
      </c>
      <c r="N906" s="2">
        <v>-1658.66</v>
      </c>
    </row>
    <row r="907" spans="1:14" x14ac:dyDescent="0.3">
      <c r="A907" t="s">
        <v>666</v>
      </c>
      <c r="B907" s="1">
        <v>45145</v>
      </c>
      <c r="C907" t="s">
        <v>667</v>
      </c>
      <c r="D907" t="s">
        <v>85</v>
      </c>
      <c r="E907" t="s">
        <v>51</v>
      </c>
      <c r="F907" t="s">
        <v>27</v>
      </c>
      <c r="G907" t="s">
        <v>28</v>
      </c>
      <c r="H907" t="s">
        <v>20</v>
      </c>
      <c r="I907" t="s">
        <v>29</v>
      </c>
      <c r="J907" t="s">
        <v>64</v>
      </c>
      <c r="K907" s="2">
        <v>47029</v>
      </c>
      <c r="L907" s="4">
        <v>2</v>
      </c>
      <c r="M907" s="3">
        <v>0.24</v>
      </c>
      <c r="N907" s="2">
        <v>-940.58</v>
      </c>
    </row>
    <row r="908" spans="1:14" x14ac:dyDescent="0.3">
      <c r="A908" t="s">
        <v>778</v>
      </c>
      <c r="B908" s="1">
        <v>45145</v>
      </c>
      <c r="C908" t="s">
        <v>779</v>
      </c>
      <c r="D908" t="s">
        <v>61</v>
      </c>
      <c r="E908" t="s">
        <v>26</v>
      </c>
      <c r="F908" t="s">
        <v>40</v>
      </c>
      <c r="G908" t="s">
        <v>41</v>
      </c>
      <c r="H908" t="s">
        <v>42</v>
      </c>
      <c r="I908" t="s">
        <v>43</v>
      </c>
      <c r="J908" t="s">
        <v>30</v>
      </c>
      <c r="K908" s="2">
        <v>36860.31</v>
      </c>
      <c r="L908" s="4">
        <v>4</v>
      </c>
      <c r="M908" s="3">
        <v>0.2</v>
      </c>
      <c r="N908" s="2">
        <v>0</v>
      </c>
    </row>
    <row r="909" spans="1:14" x14ac:dyDescent="0.3">
      <c r="A909" t="s">
        <v>664</v>
      </c>
      <c r="B909" s="1">
        <v>45146</v>
      </c>
      <c r="C909" t="s">
        <v>665</v>
      </c>
      <c r="D909" t="s">
        <v>57</v>
      </c>
      <c r="E909" t="s">
        <v>26</v>
      </c>
      <c r="F909" t="s">
        <v>79</v>
      </c>
      <c r="G909" t="s">
        <v>80</v>
      </c>
      <c r="H909" t="s">
        <v>47</v>
      </c>
      <c r="I909" t="s">
        <v>29</v>
      </c>
      <c r="J909" t="s">
        <v>37</v>
      </c>
      <c r="K909" s="2">
        <v>19001.509999999998</v>
      </c>
      <c r="L909" s="4">
        <v>7</v>
      </c>
      <c r="M909" s="3">
        <v>0</v>
      </c>
      <c r="N909" s="2">
        <v>1900.15</v>
      </c>
    </row>
    <row r="910" spans="1:14" x14ac:dyDescent="0.3">
      <c r="A910" t="s">
        <v>634</v>
      </c>
      <c r="B910" s="1">
        <v>45146</v>
      </c>
      <c r="C910" t="s">
        <v>118</v>
      </c>
      <c r="D910" t="s">
        <v>25</v>
      </c>
      <c r="E910" t="s">
        <v>26</v>
      </c>
      <c r="F910" t="s">
        <v>27</v>
      </c>
      <c r="G910" t="s">
        <v>28</v>
      </c>
      <c r="H910" t="s">
        <v>20</v>
      </c>
      <c r="I910" t="s">
        <v>21</v>
      </c>
      <c r="J910" t="s">
        <v>58</v>
      </c>
      <c r="K910" s="2">
        <v>47890.21</v>
      </c>
      <c r="L910" s="4">
        <v>8</v>
      </c>
      <c r="M910" s="3">
        <v>0.19</v>
      </c>
      <c r="N910" s="2">
        <v>239.45</v>
      </c>
    </row>
    <row r="911" spans="1:14" x14ac:dyDescent="0.3">
      <c r="A911" t="s">
        <v>88</v>
      </c>
      <c r="B911" s="1">
        <v>45147</v>
      </c>
      <c r="C911" t="s">
        <v>89</v>
      </c>
      <c r="D911" t="s">
        <v>16</v>
      </c>
      <c r="E911" t="s">
        <v>17</v>
      </c>
      <c r="F911" t="s">
        <v>18</v>
      </c>
      <c r="G911" t="s">
        <v>19</v>
      </c>
      <c r="H911" t="s">
        <v>20</v>
      </c>
      <c r="I911" t="s">
        <v>43</v>
      </c>
      <c r="J911" t="s">
        <v>22</v>
      </c>
      <c r="K911" s="2">
        <v>6536.1</v>
      </c>
      <c r="L911" s="4">
        <v>8</v>
      </c>
      <c r="M911" s="3">
        <v>0.14000000000000001</v>
      </c>
      <c r="N911" s="2">
        <v>196.08</v>
      </c>
    </row>
    <row r="912" spans="1:14" x14ac:dyDescent="0.3">
      <c r="A912" t="s">
        <v>1866</v>
      </c>
      <c r="B912" s="1">
        <v>45147</v>
      </c>
      <c r="C912" t="s">
        <v>1867</v>
      </c>
      <c r="D912" t="s">
        <v>85</v>
      </c>
      <c r="E912" t="s">
        <v>17</v>
      </c>
      <c r="F912" t="s">
        <v>18</v>
      </c>
      <c r="G912" t="s">
        <v>19</v>
      </c>
      <c r="H912" t="s">
        <v>20</v>
      </c>
      <c r="I912" t="s">
        <v>21</v>
      </c>
      <c r="J912" t="s">
        <v>58</v>
      </c>
      <c r="K912" s="2">
        <v>7097.37</v>
      </c>
      <c r="L912" s="4">
        <v>4</v>
      </c>
      <c r="M912" s="3">
        <v>0.01</v>
      </c>
      <c r="N912" s="2">
        <v>674.25</v>
      </c>
    </row>
    <row r="913" spans="1:14" x14ac:dyDescent="0.3">
      <c r="A913" t="s">
        <v>2096</v>
      </c>
      <c r="B913" s="1">
        <v>45147</v>
      </c>
      <c r="C913" t="s">
        <v>1708</v>
      </c>
      <c r="D913" t="s">
        <v>33</v>
      </c>
      <c r="E913" t="s">
        <v>51</v>
      </c>
      <c r="F913" t="s">
        <v>40</v>
      </c>
      <c r="G913" t="s">
        <v>41</v>
      </c>
      <c r="H913" t="s">
        <v>42</v>
      </c>
      <c r="I913" t="s">
        <v>29</v>
      </c>
      <c r="J913" t="s">
        <v>106</v>
      </c>
      <c r="K913" s="2">
        <v>35910.300000000003</v>
      </c>
      <c r="L913" s="4">
        <v>2</v>
      </c>
      <c r="M913" s="3">
        <v>0.15</v>
      </c>
      <c r="N913" s="2">
        <v>897.76</v>
      </c>
    </row>
    <row r="914" spans="1:14" x14ac:dyDescent="0.3">
      <c r="A914" t="s">
        <v>619</v>
      </c>
      <c r="B914" s="1">
        <v>45147</v>
      </c>
      <c r="C914" t="s">
        <v>620</v>
      </c>
      <c r="D914" t="s">
        <v>25</v>
      </c>
      <c r="E914" t="s">
        <v>51</v>
      </c>
      <c r="F914" t="s">
        <v>18</v>
      </c>
      <c r="G914" t="s">
        <v>19</v>
      </c>
      <c r="H914" t="s">
        <v>20</v>
      </c>
      <c r="I914" t="s">
        <v>29</v>
      </c>
      <c r="J914" t="s">
        <v>54</v>
      </c>
      <c r="K914" s="2">
        <v>27153.7</v>
      </c>
      <c r="L914" s="4">
        <v>1</v>
      </c>
      <c r="M914" s="3">
        <v>0.22</v>
      </c>
      <c r="N914" s="2">
        <v>-271.54000000000002</v>
      </c>
    </row>
    <row r="915" spans="1:14" x14ac:dyDescent="0.3">
      <c r="A915" t="s">
        <v>2137</v>
      </c>
      <c r="B915" s="1">
        <v>45147</v>
      </c>
      <c r="C915" t="s">
        <v>441</v>
      </c>
      <c r="D915" t="s">
        <v>85</v>
      </c>
      <c r="E915" t="s">
        <v>51</v>
      </c>
      <c r="F915" t="s">
        <v>79</v>
      </c>
      <c r="G915" t="s">
        <v>80</v>
      </c>
      <c r="H915" t="s">
        <v>47</v>
      </c>
      <c r="I915" t="s">
        <v>29</v>
      </c>
      <c r="J915" t="s">
        <v>22</v>
      </c>
      <c r="K915" s="2">
        <v>11910.13</v>
      </c>
      <c r="L915" s="4">
        <v>5</v>
      </c>
      <c r="M915" s="3">
        <v>0.05</v>
      </c>
      <c r="N915" s="2">
        <v>893.26</v>
      </c>
    </row>
    <row r="916" spans="1:14" x14ac:dyDescent="0.3">
      <c r="A916" t="s">
        <v>195</v>
      </c>
      <c r="B916" s="1">
        <v>45148</v>
      </c>
      <c r="C916" t="s">
        <v>196</v>
      </c>
      <c r="D916" t="s">
        <v>85</v>
      </c>
      <c r="E916" t="s">
        <v>17</v>
      </c>
      <c r="F916" t="s">
        <v>40</v>
      </c>
      <c r="G916" t="s">
        <v>41</v>
      </c>
      <c r="H916" t="s">
        <v>42</v>
      </c>
      <c r="I916" t="s">
        <v>43</v>
      </c>
      <c r="J916" t="s">
        <v>30</v>
      </c>
      <c r="K916" s="2">
        <v>21502.53</v>
      </c>
      <c r="L916" s="4">
        <v>1</v>
      </c>
      <c r="M916" s="3">
        <v>0.19</v>
      </c>
      <c r="N916" s="2">
        <v>107.51</v>
      </c>
    </row>
    <row r="917" spans="1:14" x14ac:dyDescent="0.3">
      <c r="A917" t="s">
        <v>877</v>
      </c>
      <c r="B917" s="1">
        <v>45148</v>
      </c>
      <c r="C917" t="s">
        <v>878</v>
      </c>
      <c r="D917" t="s">
        <v>16</v>
      </c>
      <c r="E917" t="s">
        <v>51</v>
      </c>
      <c r="F917" t="s">
        <v>18</v>
      </c>
      <c r="G917" t="s">
        <v>19</v>
      </c>
      <c r="H917" t="s">
        <v>20</v>
      </c>
      <c r="I917" t="s">
        <v>29</v>
      </c>
      <c r="J917" t="s">
        <v>64</v>
      </c>
      <c r="K917" s="2">
        <v>36230.120000000003</v>
      </c>
      <c r="L917" s="4">
        <v>6</v>
      </c>
      <c r="M917" s="3">
        <v>0.1</v>
      </c>
      <c r="N917" s="2">
        <v>1811.51</v>
      </c>
    </row>
    <row r="918" spans="1:14" x14ac:dyDescent="0.3">
      <c r="A918" t="s">
        <v>1761</v>
      </c>
      <c r="B918" s="1">
        <v>45148</v>
      </c>
      <c r="C918" t="s">
        <v>1762</v>
      </c>
      <c r="D918" t="s">
        <v>85</v>
      </c>
      <c r="E918" t="s">
        <v>51</v>
      </c>
      <c r="F918" t="s">
        <v>27</v>
      </c>
      <c r="G918" t="s">
        <v>28</v>
      </c>
      <c r="H918" t="s">
        <v>20</v>
      </c>
      <c r="I918" t="s">
        <v>43</v>
      </c>
      <c r="J918" t="s">
        <v>106</v>
      </c>
      <c r="K918" s="2">
        <v>25336.75</v>
      </c>
      <c r="L918" s="4">
        <v>6</v>
      </c>
      <c r="M918" s="3">
        <v>0.05</v>
      </c>
      <c r="N918" s="2">
        <v>1900.26</v>
      </c>
    </row>
    <row r="919" spans="1:14" x14ac:dyDescent="0.3">
      <c r="A919" t="s">
        <v>1078</v>
      </c>
      <c r="B919" s="1">
        <v>45148</v>
      </c>
      <c r="C919" t="s">
        <v>1079</v>
      </c>
      <c r="D919" t="s">
        <v>85</v>
      </c>
      <c r="E919" t="s">
        <v>26</v>
      </c>
      <c r="F919" t="s">
        <v>27</v>
      </c>
      <c r="G919" t="s">
        <v>28</v>
      </c>
      <c r="H919" t="s">
        <v>20</v>
      </c>
      <c r="I919" t="s">
        <v>43</v>
      </c>
      <c r="J919" t="s">
        <v>58</v>
      </c>
      <c r="K919" s="2">
        <v>6307.2</v>
      </c>
      <c r="L919" s="4">
        <v>5</v>
      </c>
      <c r="M919" s="3">
        <v>0.14000000000000001</v>
      </c>
      <c r="N919" s="2">
        <v>189.22</v>
      </c>
    </row>
    <row r="920" spans="1:14" x14ac:dyDescent="0.3">
      <c r="A920" t="s">
        <v>2268</v>
      </c>
      <c r="B920" s="1">
        <v>45148</v>
      </c>
      <c r="C920" t="s">
        <v>124</v>
      </c>
      <c r="D920" t="s">
        <v>33</v>
      </c>
      <c r="E920" t="s">
        <v>17</v>
      </c>
      <c r="F920" t="s">
        <v>79</v>
      </c>
      <c r="G920" t="s">
        <v>80</v>
      </c>
      <c r="H920" t="s">
        <v>47</v>
      </c>
      <c r="I920" t="s">
        <v>43</v>
      </c>
      <c r="J920" t="s">
        <v>54</v>
      </c>
      <c r="K920" s="2">
        <v>33060.65</v>
      </c>
      <c r="L920" s="4">
        <v>4</v>
      </c>
      <c r="M920" s="3">
        <v>0.13</v>
      </c>
      <c r="N920" s="2">
        <v>1157.1199999999999</v>
      </c>
    </row>
    <row r="921" spans="1:14" x14ac:dyDescent="0.3">
      <c r="A921" t="s">
        <v>247</v>
      </c>
      <c r="B921" s="1">
        <v>45148</v>
      </c>
      <c r="C921" t="s">
        <v>248</v>
      </c>
      <c r="D921" t="s">
        <v>33</v>
      </c>
      <c r="E921" t="s">
        <v>17</v>
      </c>
      <c r="F921" t="s">
        <v>40</v>
      </c>
      <c r="G921" t="s">
        <v>41</v>
      </c>
      <c r="H921" t="s">
        <v>42</v>
      </c>
      <c r="I921" t="s">
        <v>43</v>
      </c>
      <c r="J921" t="s">
        <v>64</v>
      </c>
      <c r="K921" s="2">
        <v>45948.98</v>
      </c>
      <c r="L921" s="4">
        <v>1</v>
      </c>
      <c r="M921" s="3">
        <v>0.27</v>
      </c>
      <c r="N921" s="2">
        <v>-1608.21</v>
      </c>
    </row>
    <row r="922" spans="1:14" x14ac:dyDescent="0.3">
      <c r="A922" t="s">
        <v>476</v>
      </c>
      <c r="B922" s="1">
        <v>45148</v>
      </c>
      <c r="C922" t="s">
        <v>477</v>
      </c>
      <c r="D922" t="s">
        <v>57</v>
      </c>
      <c r="E922" t="s">
        <v>26</v>
      </c>
      <c r="F922" t="s">
        <v>79</v>
      </c>
      <c r="G922" t="s">
        <v>80</v>
      </c>
      <c r="H922" t="s">
        <v>47</v>
      </c>
      <c r="I922" t="s">
        <v>21</v>
      </c>
      <c r="J922" t="s">
        <v>106</v>
      </c>
      <c r="K922" s="2">
        <v>49284.480000000003</v>
      </c>
      <c r="L922" s="4">
        <v>1</v>
      </c>
      <c r="M922" s="3">
        <v>0.06</v>
      </c>
      <c r="N922" s="2">
        <v>3449.91</v>
      </c>
    </row>
    <row r="923" spans="1:14" x14ac:dyDescent="0.3">
      <c r="A923" t="s">
        <v>1608</v>
      </c>
      <c r="B923" s="1">
        <v>45149</v>
      </c>
      <c r="C923" t="s">
        <v>1110</v>
      </c>
      <c r="D923" t="s">
        <v>61</v>
      </c>
      <c r="E923" t="s">
        <v>26</v>
      </c>
      <c r="F923" t="s">
        <v>34</v>
      </c>
      <c r="G923" t="s">
        <v>35</v>
      </c>
      <c r="H923" t="s">
        <v>36</v>
      </c>
      <c r="I923" t="s">
        <v>43</v>
      </c>
      <c r="J923" t="s">
        <v>37</v>
      </c>
      <c r="K923" s="2">
        <v>36616.01</v>
      </c>
      <c r="L923" s="4">
        <v>5</v>
      </c>
      <c r="M923" s="3">
        <v>0.28999999999999998</v>
      </c>
      <c r="N923" s="2">
        <v>-1647.72</v>
      </c>
    </row>
    <row r="924" spans="1:14" x14ac:dyDescent="0.3">
      <c r="A924" t="s">
        <v>892</v>
      </c>
      <c r="B924" s="1">
        <v>45150</v>
      </c>
      <c r="C924" t="s">
        <v>893</v>
      </c>
      <c r="D924" t="s">
        <v>57</v>
      </c>
      <c r="E924" t="s">
        <v>51</v>
      </c>
      <c r="F924" t="s">
        <v>40</v>
      </c>
      <c r="G924" t="s">
        <v>41</v>
      </c>
      <c r="H924" t="s">
        <v>42</v>
      </c>
      <c r="I924" t="s">
        <v>21</v>
      </c>
      <c r="J924" t="s">
        <v>106</v>
      </c>
      <c r="K924" s="2">
        <v>40827.31</v>
      </c>
      <c r="L924" s="4">
        <v>10</v>
      </c>
      <c r="M924" s="3">
        <v>0.28999999999999998</v>
      </c>
      <c r="N924" s="2">
        <v>-1837.23</v>
      </c>
    </row>
    <row r="925" spans="1:14" x14ac:dyDescent="0.3">
      <c r="A925" t="s">
        <v>1245</v>
      </c>
      <c r="B925" s="1">
        <v>45150</v>
      </c>
      <c r="C925" t="s">
        <v>380</v>
      </c>
      <c r="D925" t="s">
        <v>57</v>
      </c>
      <c r="E925" t="s">
        <v>17</v>
      </c>
      <c r="F925" t="s">
        <v>18</v>
      </c>
      <c r="G925" t="s">
        <v>19</v>
      </c>
      <c r="H925" t="s">
        <v>20</v>
      </c>
      <c r="I925" t="s">
        <v>43</v>
      </c>
      <c r="J925" t="s">
        <v>22</v>
      </c>
      <c r="K925" s="2">
        <v>40963.51</v>
      </c>
      <c r="L925" s="4">
        <v>6</v>
      </c>
      <c r="M925" s="3">
        <v>0.26</v>
      </c>
      <c r="N925" s="2">
        <v>-1228.9100000000001</v>
      </c>
    </row>
    <row r="926" spans="1:14" x14ac:dyDescent="0.3">
      <c r="A926" t="s">
        <v>1787</v>
      </c>
      <c r="B926" s="1">
        <v>45150</v>
      </c>
      <c r="C926" t="s">
        <v>964</v>
      </c>
      <c r="D926" t="s">
        <v>85</v>
      </c>
      <c r="E926" t="s">
        <v>26</v>
      </c>
      <c r="F926" t="s">
        <v>18</v>
      </c>
      <c r="G926" t="s">
        <v>19</v>
      </c>
      <c r="H926" t="s">
        <v>20</v>
      </c>
      <c r="I926" t="s">
        <v>29</v>
      </c>
      <c r="J926" t="s">
        <v>37</v>
      </c>
      <c r="K926" s="2">
        <v>47486.79</v>
      </c>
      <c r="L926" s="4">
        <v>5</v>
      </c>
      <c r="M926" s="3">
        <v>0.21</v>
      </c>
      <c r="N926" s="2">
        <v>-237.43</v>
      </c>
    </row>
    <row r="927" spans="1:14" x14ac:dyDescent="0.3">
      <c r="A927" t="s">
        <v>2159</v>
      </c>
      <c r="B927" s="1">
        <v>45150</v>
      </c>
      <c r="C927" t="s">
        <v>1570</v>
      </c>
      <c r="D927" t="s">
        <v>61</v>
      </c>
      <c r="E927" t="s">
        <v>51</v>
      </c>
      <c r="F927" t="s">
        <v>27</v>
      </c>
      <c r="G927" t="s">
        <v>28</v>
      </c>
      <c r="H927" t="s">
        <v>20</v>
      </c>
      <c r="I927" t="s">
        <v>21</v>
      </c>
      <c r="J927" t="s">
        <v>106</v>
      </c>
      <c r="K927" s="2">
        <v>47551.58</v>
      </c>
      <c r="L927" s="4">
        <v>10</v>
      </c>
      <c r="M927" s="3">
        <v>0.05</v>
      </c>
      <c r="N927" s="2">
        <v>3566.37</v>
      </c>
    </row>
    <row r="928" spans="1:14" x14ac:dyDescent="0.3">
      <c r="A928" t="s">
        <v>1852</v>
      </c>
      <c r="B928" s="1">
        <v>45150</v>
      </c>
      <c r="C928" t="s">
        <v>136</v>
      </c>
      <c r="D928" t="s">
        <v>61</v>
      </c>
      <c r="E928" t="s">
        <v>51</v>
      </c>
      <c r="F928" t="s">
        <v>46</v>
      </c>
      <c r="G928" t="s">
        <v>46</v>
      </c>
      <c r="H928" t="s">
        <v>47</v>
      </c>
      <c r="I928" t="s">
        <v>21</v>
      </c>
      <c r="J928" t="s">
        <v>22</v>
      </c>
      <c r="K928" s="2">
        <v>47836.87</v>
      </c>
      <c r="L928" s="4">
        <v>2</v>
      </c>
      <c r="M928" s="3">
        <v>0.19</v>
      </c>
      <c r="N928" s="2">
        <v>239.18</v>
      </c>
    </row>
    <row r="929" spans="1:14" x14ac:dyDescent="0.3">
      <c r="A929" t="s">
        <v>1038</v>
      </c>
      <c r="B929" s="1">
        <v>45150</v>
      </c>
      <c r="C929" t="s">
        <v>1039</v>
      </c>
      <c r="D929" t="s">
        <v>85</v>
      </c>
      <c r="E929" t="s">
        <v>51</v>
      </c>
      <c r="F929" t="s">
        <v>34</v>
      </c>
      <c r="G929" t="s">
        <v>35</v>
      </c>
      <c r="H929" t="s">
        <v>36</v>
      </c>
      <c r="I929" t="s">
        <v>43</v>
      </c>
      <c r="J929" t="s">
        <v>58</v>
      </c>
      <c r="K929" s="2">
        <v>20583.45</v>
      </c>
      <c r="L929" s="4">
        <v>3</v>
      </c>
      <c r="M929" s="3">
        <v>0.22</v>
      </c>
      <c r="N929" s="2">
        <v>-205.83</v>
      </c>
    </row>
    <row r="930" spans="1:14" x14ac:dyDescent="0.3">
      <c r="A930" t="s">
        <v>438</v>
      </c>
      <c r="B930" s="1">
        <v>45151</v>
      </c>
      <c r="C930" t="s">
        <v>439</v>
      </c>
      <c r="D930" t="s">
        <v>50</v>
      </c>
      <c r="E930" t="s">
        <v>26</v>
      </c>
      <c r="F930" t="s">
        <v>79</v>
      </c>
      <c r="G930" t="s">
        <v>80</v>
      </c>
      <c r="H930" t="s">
        <v>47</v>
      </c>
      <c r="I930" t="s">
        <v>29</v>
      </c>
      <c r="J930" t="s">
        <v>54</v>
      </c>
      <c r="K930" s="2">
        <v>18006.97</v>
      </c>
      <c r="L930" s="4">
        <v>10</v>
      </c>
      <c r="M930" s="3">
        <v>0.11</v>
      </c>
      <c r="N930" s="2">
        <v>810.31</v>
      </c>
    </row>
    <row r="931" spans="1:14" x14ac:dyDescent="0.3">
      <c r="A931" t="s">
        <v>1961</v>
      </c>
      <c r="B931" s="1">
        <v>45152</v>
      </c>
      <c r="C931" t="s">
        <v>373</v>
      </c>
      <c r="D931" t="s">
        <v>50</v>
      </c>
      <c r="E931" t="s">
        <v>17</v>
      </c>
      <c r="F931" t="s">
        <v>40</v>
      </c>
      <c r="G931" t="s">
        <v>41</v>
      </c>
      <c r="H931" t="s">
        <v>42</v>
      </c>
      <c r="I931" t="s">
        <v>29</v>
      </c>
      <c r="J931" t="s">
        <v>64</v>
      </c>
      <c r="K931" s="2">
        <v>28413.94</v>
      </c>
      <c r="L931" s="4">
        <v>8</v>
      </c>
      <c r="M931" s="3">
        <v>0.21</v>
      </c>
      <c r="N931" s="2">
        <v>-142.07</v>
      </c>
    </row>
    <row r="932" spans="1:14" x14ac:dyDescent="0.3">
      <c r="A932" t="s">
        <v>576</v>
      </c>
      <c r="B932" s="1">
        <v>45152</v>
      </c>
      <c r="C932" t="s">
        <v>168</v>
      </c>
      <c r="D932" t="s">
        <v>33</v>
      </c>
      <c r="E932" t="s">
        <v>51</v>
      </c>
      <c r="F932" t="s">
        <v>34</v>
      </c>
      <c r="G932" t="s">
        <v>35</v>
      </c>
      <c r="H932" t="s">
        <v>36</v>
      </c>
      <c r="I932" t="s">
        <v>29</v>
      </c>
      <c r="J932" t="s">
        <v>54</v>
      </c>
      <c r="K932" s="2">
        <v>22627.81</v>
      </c>
      <c r="L932" s="4">
        <v>5</v>
      </c>
      <c r="M932" s="3">
        <v>0.27</v>
      </c>
      <c r="N932" s="2">
        <v>-791.97</v>
      </c>
    </row>
    <row r="933" spans="1:14" x14ac:dyDescent="0.3">
      <c r="A933" t="s">
        <v>1221</v>
      </c>
      <c r="B933" s="1">
        <v>45153</v>
      </c>
      <c r="C933" t="s">
        <v>736</v>
      </c>
      <c r="D933" t="s">
        <v>85</v>
      </c>
      <c r="E933" t="s">
        <v>26</v>
      </c>
      <c r="F933" t="s">
        <v>46</v>
      </c>
      <c r="G933" t="s">
        <v>46</v>
      </c>
      <c r="H933" t="s">
        <v>47</v>
      </c>
      <c r="I933" t="s">
        <v>21</v>
      </c>
      <c r="J933" t="s">
        <v>64</v>
      </c>
      <c r="K933" s="2">
        <v>3461.57</v>
      </c>
      <c r="L933" s="4">
        <v>5</v>
      </c>
      <c r="M933" s="3">
        <v>0.09</v>
      </c>
      <c r="N933" s="2">
        <v>190.39</v>
      </c>
    </row>
    <row r="934" spans="1:14" x14ac:dyDescent="0.3">
      <c r="A934" t="s">
        <v>1351</v>
      </c>
      <c r="B934" s="1">
        <v>45154</v>
      </c>
      <c r="C934" t="s">
        <v>1352</v>
      </c>
      <c r="D934" t="s">
        <v>16</v>
      </c>
      <c r="E934" t="s">
        <v>17</v>
      </c>
      <c r="F934" t="s">
        <v>46</v>
      </c>
      <c r="G934" t="s">
        <v>46</v>
      </c>
      <c r="H934" t="s">
        <v>47</v>
      </c>
      <c r="I934" t="s">
        <v>43</v>
      </c>
      <c r="J934" t="s">
        <v>30</v>
      </c>
      <c r="K934" s="2">
        <v>31794.02</v>
      </c>
      <c r="L934" s="4">
        <v>7</v>
      </c>
      <c r="M934" s="3">
        <v>0.14000000000000001</v>
      </c>
      <c r="N934" s="2">
        <v>953.82</v>
      </c>
    </row>
    <row r="935" spans="1:14" x14ac:dyDescent="0.3">
      <c r="A935" t="s">
        <v>1745</v>
      </c>
      <c r="B935" s="1">
        <v>45154</v>
      </c>
      <c r="C935" t="s">
        <v>1746</v>
      </c>
      <c r="D935" t="s">
        <v>85</v>
      </c>
      <c r="E935" t="s">
        <v>51</v>
      </c>
      <c r="F935" t="s">
        <v>18</v>
      </c>
      <c r="G935" t="s">
        <v>19</v>
      </c>
      <c r="H935" t="s">
        <v>20</v>
      </c>
      <c r="I935" t="s">
        <v>29</v>
      </c>
      <c r="J935" t="s">
        <v>106</v>
      </c>
      <c r="K935" s="2">
        <v>42446.19</v>
      </c>
      <c r="L935" s="4">
        <v>4</v>
      </c>
      <c r="M935" s="3">
        <v>0.03</v>
      </c>
      <c r="N935" s="2">
        <v>3607.93</v>
      </c>
    </row>
    <row r="936" spans="1:14" x14ac:dyDescent="0.3">
      <c r="A936" t="s">
        <v>1599</v>
      </c>
      <c r="B936" s="1">
        <v>45154</v>
      </c>
      <c r="C936" t="s">
        <v>1371</v>
      </c>
      <c r="D936" t="s">
        <v>50</v>
      </c>
      <c r="E936" t="s">
        <v>17</v>
      </c>
      <c r="F936" t="s">
        <v>46</v>
      </c>
      <c r="G936" t="s">
        <v>46</v>
      </c>
      <c r="H936" t="s">
        <v>47</v>
      </c>
      <c r="I936" t="s">
        <v>29</v>
      </c>
      <c r="J936" t="s">
        <v>106</v>
      </c>
      <c r="K936" s="2">
        <v>25748.5</v>
      </c>
      <c r="L936" s="4">
        <v>4</v>
      </c>
      <c r="M936" s="3">
        <v>0.27</v>
      </c>
      <c r="N936" s="2">
        <v>-901.2</v>
      </c>
    </row>
    <row r="937" spans="1:14" x14ac:dyDescent="0.3">
      <c r="A937" t="s">
        <v>511</v>
      </c>
      <c r="B937" s="1">
        <v>45154</v>
      </c>
      <c r="C937" t="s">
        <v>512</v>
      </c>
      <c r="D937" t="s">
        <v>25</v>
      </c>
      <c r="E937" t="s">
        <v>26</v>
      </c>
      <c r="F937" t="s">
        <v>40</v>
      </c>
      <c r="G937" t="s">
        <v>41</v>
      </c>
      <c r="H937" t="s">
        <v>42</v>
      </c>
      <c r="I937" t="s">
        <v>29</v>
      </c>
      <c r="J937" t="s">
        <v>106</v>
      </c>
      <c r="K937" s="2">
        <v>32665.83</v>
      </c>
      <c r="L937" s="4">
        <v>9</v>
      </c>
      <c r="M937" s="3">
        <v>0.21</v>
      </c>
      <c r="N937" s="2">
        <v>-163.33000000000001</v>
      </c>
    </row>
    <row r="938" spans="1:14" x14ac:dyDescent="0.3">
      <c r="A938" t="s">
        <v>520</v>
      </c>
      <c r="B938" s="1">
        <v>45156</v>
      </c>
      <c r="C938" t="s">
        <v>521</v>
      </c>
      <c r="D938" t="s">
        <v>25</v>
      </c>
      <c r="E938" t="s">
        <v>17</v>
      </c>
      <c r="F938" t="s">
        <v>34</v>
      </c>
      <c r="G938" t="s">
        <v>35</v>
      </c>
      <c r="H938" t="s">
        <v>36</v>
      </c>
      <c r="I938" t="s">
        <v>29</v>
      </c>
      <c r="J938" t="s">
        <v>58</v>
      </c>
      <c r="K938" s="2">
        <v>24335.31</v>
      </c>
      <c r="L938" s="4">
        <v>3</v>
      </c>
      <c r="M938" s="3">
        <v>0.17</v>
      </c>
      <c r="N938" s="2">
        <v>365.03</v>
      </c>
    </row>
    <row r="939" spans="1:14" x14ac:dyDescent="0.3">
      <c r="A939" t="s">
        <v>551</v>
      </c>
      <c r="B939" s="1">
        <v>45156</v>
      </c>
      <c r="C939" t="s">
        <v>143</v>
      </c>
      <c r="D939" t="s">
        <v>33</v>
      </c>
      <c r="E939" t="s">
        <v>26</v>
      </c>
      <c r="F939" t="s">
        <v>34</v>
      </c>
      <c r="G939" t="s">
        <v>35</v>
      </c>
      <c r="H939" t="s">
        <v>36</v>
      </c>
      <c r="I939" t="s">
        <v>43</v>
      </c>
      <c r="J939" t="s">
        <v>30</v>
      </c>
      <c r="K939" s="2">
        <v>48256.82</v>
      </c>
      <c r="L939" s="4">
        <v>10</v>
      </c>
      <c r="M939" s="3">
        <v>0.13</v>
      </c>
      <c r="N939" s="2">
        <v>1688.99</v>
      </c>
    </row>
    <row r="940" spans="1:14" x14ac:dyDescent="0.3">
      <c r="A940" t="s">
        <v>1856</v>
      </c>
      <c r="B940" s="1">
        <v>45156</v>
      </c>
      <c r="C940" t="s">
        <v>1857</v>
      </c>
      <c r="D940" t="s">
        <v>50</v>
      </c>
      <c r="E940" t="s">
        <v>51</v>
      </c>
      <c r="F940" t="s">
        <v>27</v>
      </c>
      <c r="G940" t="s">
        <v>28</v>
      </c>
      <c r="H940" t="s">
        <v>20</v>
      </c>
      <c r="I940" t="s">
        <v>43</v>
      </c>
      <c r="J940" t="s">
        <v>22</v>
      </c>
      <c r="K940" s="2">
        <v>28043.59</v>
      </c>
      <c r="L940" s="4">
        <v>10</v>
      </c>
      <c r="M940" s="3">
        <v>0.09</v>
      </c>
      <c r="N940" s="2">
        <v>1542.4</v>
      </c>
    </row>
    <row r="941" spans="1:14" x14ac:dyDescent="0.3">
      <c r="A941" t="s">
        <v>2127</v>
      </c>
      <c r="B941" s="1">
        <v>45156</v>
      </c>
      <c r="C941" t="s">
        <v>2071</v>
      </c>
      <c r="D941" t="s">
        <v>16</v>
      </c>
      <c r="E941" t="s">
        <v>51</v>
      </c>
      <c r="F941" t="s">
        <v>79</v>
      </c>
      <c r="G941" t="s">
        <v>80</v>
      </c>
      <c r="H941" t="s">
        <v>47</v>
      </c>
      <c r="I941" t="s">
        <v>43</v>
      </c>
      <c r="J941" t="s">
        <v>64</v>
      </c>
      <c r="K941" s="2">
        <v>32714.720000000001</v>
      </c>
      <c r="L941" s="4">
        <v>1</v>
      </c>
      <c r="M941" s="3">
        <v>0.19</v>
      </c>
      <c r="N941" s="2">
        <v>163.57</v>
      </c>
    </row>
    <row r="942" spans="1:14" x14ac:dyDescent="0.3">
      <c r="A942" t="s">
        <v>267</v>
      </c>
      <c r="B942" s="1">
        <v>45156</v>
      </c>
      <c r="C942" t="s">
        <v>268</v>
      </c>
      <c r="D942" t="s">
        <v>85</v>
      </c>
      <c r="E942" t="s">
        <v>17</v>
      </c>
      <c r="F942" t="s">
        <v>27</v>
      </c>
      <c r="G942" t="s">
        <v>28</v>
      </c>
      <c r="H942" t="s">
        <v>20</v>
      </c>
      <c r="I942" t="s">
        <v>43</v>
      </c>
      <c r="J942" t="s">
        <v>22</v>
      </c>
      <c r="K942" s="2">
        <v>37449.379999999997</v>
      </c>
      <c r="L942" s="4">
        <v>1</v>
      </c>
      <c r="M942" s="3">
        <v>7.0000000000000007E-2</v>
      </c>
      <c r="N942" s="2">
        <v>2434.21</v>
      </c>
    </row>
    <row r="943" spans="1:14" x14ac:dyDescent="0.3">
      <c r="A943" t="s">
        <v>1437</v>
      </c>
      <c r="B943" s="1">
        <v>45156</v>
      </c>
      <c r="C943" t="s">
        <v>1438</v>
      </c>
      <c r="D943" t="s">
        <v>57</v>
      </c>
      <c r="E943" t="s">
        <v>51</v>
      </c>
      <c r="F943" t="s">
        <v>18</v>
      </c>
      <c r="G943" t="s">
        <v>19</v>
      </c>
      <c r="H943" t="s">
        <v>20</v>
      </c>
      <c r="I943" t="s">
        <v>29</v>
      </c>
      <c r="J943" t="s">
        <v>22</v>
      </c>
      <c r="K943" s="2">
        <v>24969.95</v>
      </c>
      <c r="L943" s="4">
        <v>8</v>
      </c>
      <c r="M943" s="3">
        <v>0.19</v>
      </c>
      <c r="N943" s="2">
        <v>124.85</v>
      </c>
    </row>
    <row r="944" spans="1:14" x14ac:dyDescent="0.3">
      <c r="A944" t="s">
        <v>1675</v>
      </c>
      <c r="B944" s="1">
        <v>45157</v>
      </c>
      <c r="C944" t="s">
        <v>1676</v>
      </c>
      <c r="D944" t="s">
        <v>85</v>
      </c>
      <c r="E944" t="s">
        <v>17</v>
      </c>
      <c r="F944" t="s">
        <v>79</v>
      </c>
      <c r="G944" t="s">
        <v>80</v>
      </c>
      <c r="H944" t="s">
        <v>47</v>
      </c>
      <c r="I944" t="s">
        <v>29</v>
      </c>
      <c r="J944" t="s">
        <v>64</v>
      </c>
      <c r="K944" s="2">
        <v>5346.4</v>
      </c>
      <c r="L944" s="4">
        <v>9</v>
      </c>
      <c r="M944" s="3">
        <v>7.0000000000000007E-2</v>
      </c>
      <c r="N944" s="2">
        <v>347.52</v>
      </c>
    </row>
    <row r="945" spans="1:14" x14ac:dyDescent="0.3">
      <c r="A945" t="s">
        <v>308</v>
      </c>
      <c r="B945" s="1">
        <v>45158</v>
      </c>
      <c r="C945" t="s">
        <v>309</v>
      </c>
      <c r="D945" t="s">
        <v>61</v>
      </c>
      <c r="E945" t="s">
        <v>26</v>
      </c>
      <c r="F945" t="s">
        <v>79</v>
      </c>
      <c r="G945" t="s">
        <v>80</v>
      </c>
      <c r="H945" t="s">
        <v>47</v>
      </c>
      <c r="I945" t="s">
        <v>43</v>
      </c>
      <c r="J945" t="s">
        <v>22</v>
      </c>
      <c r="K945" s="2">
        <v>44825.58</v>
      </c>
      <c r="L945" s="4">
        <v>7</v>
      </c>
      <c r="M945" s="3">
        <v>0.27</v>
      </c>
      <c r="N945" s="2">
        <v>-1568.9</v>
      </c>
    </row>
    <row r="946" spans="1:14" x14ac:dyDescent="0.3">
      <c r="A946" t="s">
        <v>414</v>
      </c>
      <c r="B946" s="1">
        <v>45158</v>
      </c>
      <c r="C946" t="s">
        <v>415</v>
      </c>
      <c r="D946" t="s">
        <v>57</v>
      </c>
      <c r="E946" t="s">
        <v>26</v>
      </c>
      <c r="F946" t="s">
        <v>18</v>
      </c>
      <c r="G946" t="s">
        <v>19</v>
      </c>
      <c r="H946" t="s">
        <v>20</v>
      </c>
      <c r="I946" t="s">
        <v>29</v>
      </c>
      <c r="J946" t="s">
        <v>64</v>
      </c>
      <c r="K946" s="2">
        <v>47799.41</v>
      </c>
      <c r="L946" s="4">
        <v>1</v>
      </c>
      <c r="M946" s="3">
        <v>0.28999999999999998</v>
      </c>
      <c r="N946" s="2">
        <v>-2150.9699999999998</v>
      </c>
    </row>
    <row r="947" spans="1:14" x14ac:dyDescent="0.3">
      <c r="A947" t="s">
        <v>1767</v>
      </c>
      <c r="B947" s="1">
        <v>45158</v>
      </c>
      <c r="C947" t="s">
        <v>1271</v>
      </c>
      <c r="D947" t="s">
        <v>33</v>
      </c>
      <c r="E947" t="s">
        <v>26</v>
      </c>
      <c r="F947" t="s">
        <v>27</v>
      </c>
      <c r="G947" t="s">
        <v>28</v>
      </c>
      <c r="H947" t="s">
        <v>20</v>
      </c>
      <c r="I947" t="s">
        <v>29</v>
      </c>
      <c r="J947" t="s">
        <v>64</v>
      </c>
      <c r="K947" s="2">
        <v>11937.43</v>
      </c>
      <c r="L947" s="4">
        <v>6</v>
      </c>
      <c r="M947" s="3">
        <v>0.26</v>
      </c>
      <c r="N947" s="2">
        <v>-358.12</v>
      </c>
    </row>
    <row r="948" spans="1:14" x14ac:dyDescent="0.3">
      <c r="A948" t="s">
        <v>2063</v>
      </c>
      <c r="B948" s="1">
        <v>45158</v>
      </c>
      <c r="C948" t="s">
        <v>32</v>
      </c>
      <c r="D948" t="s">
        <v>85</v>
      </c>
      <c r="E948" t="s">
        <v>26</v>
      </c>
      <c r="F948" t="s">
        <v>40</v>
      </c>
      <c r="G948" t="s">
        <v>41</v>
      </c>
      <c r="H948" t="s">
        <v>42</v>
      </c>
      <c r="I948" t="s">
        <v>29</v>
      </c>
      <c r="J948" t="s">
        <v>22</v>
      </c>
      <c r="K948" s="2">
        <v>48901.4</v>
      </c>
      <c r="L948" s="4">
        <v>8</v>
      </c>
      <c r="M948" s="3">
        <v>0.28999999999999998</v>
      </c>
      <c r="N948" s="2">
        <v>-2200.56</v>
      </c>
    </row>
    <row r="949" spans="1:14" x14ac:dyDescent="0.3">
      <c r="A949" t="s">
        <v>1040</v>
      </c>
      <c r="B949" s="1">
        <v>45158</v>
      </c>
      <c r="C949" t="s">
        <v>1041</v>
      </c>
      <c r="D949" t="s">
        <v>50</v>
      </c>
      <c r="E949" t="s">
        <v>26</v>
      </c>
      <c r="F949" t="s">
        <v>79</v>
      </c>
      <c r="G949" t="s">
        <v>80</v>
      </c>
      <c r="H949" t="s">
        <v>47</v>
      </c>
      <c r="I949" t="s">
        <v>29</v>
      </c>
      <c r="J949" t="s">
        <v>37</v>
      </c>
      <c r="K949" s="2">
        <v>31409.94</v>
      </c>
      <c r="L949" s="4">
        <v>1</v>
      </c>
      <c r="M949" s="3">
        <v>0.15</v>
      </c>
      <c r="N949" s="2">
        <v>785.25</v>
      </c>
    </row>
    <row r="950" spans="1:14" x14ac:dyDescent="0.3">
      <c r="A950" t="s">
        <v>754</v>
      </c>
      <c r="B950" s="1">
        <v>45158</v>
      </c>
      <c r="C950" t="s">
        <v>140</v>
      </c>
      <c r="D950" t="s">
        <v>25</v>
      </c>
      <c r="E950" t="s">
        <v>51</v>
      </c>
      <c r="F950" t="s">
        <v>79</v>
      </c>
      <c r="G950" t="s">
        <v>80</v>
      </c>
      <c r="H950" t="s">
        <v>47</v>
      </c>
      <c r="I950" t="s">
        <v>21</v>
      </c>
      <c r="J950" t="s">
        <v>106</v>
      </c>
      <c r="K950" s="2">
        <v>45258.95</v>
      </c>
      <c r="L950" s="4">
        <v>7</v>
      </c>
      <c r="M950" s="3">
        <v>0.06</v>
      </c>
      <c r="N950" s="2">
        <v>3168.13</v>
      </c>
    </row>
    <row r="951" spans="1:14" x14ac:dyDescent="0.3">
      <c r="A951" t="s">
        <v>1035</v>
      </c>
      <c r="B951" s="1">
        <v>45159</v>
      </c>
      <c r="C951" t="s">
        <v>1036</v>
      </c>
      <c r="D951" t="s">
        <v>50</v>
      </c>
      <c r="E951" t="s">
        <v>26</v>
      </c>
      <c r="F951" t="s">
        <v>79</v>
      </c>
      <c r="G951" t="s">
        <v>80</v>
      </c>
      <c r="H951" t="s">
        <v>47</v>
      </c>
      <c r="I951" t="s">
        <v>43</v>
      </c>
      <c r="J951" t="s">
        <v>58</v>
      </c>
      <c r="K951" s="2">
        <v>3487.57</v>
      </c>
      <c r="L951" s="4">
        <v>2</v>
      </c>
      <c r="M951" s="3">
        <v>0.15</v>
      </c>
      <c r="N951" s="2">
        <v>87.19</v>
      </c>
    </row>
    <row r="952" spans="1:14" x14ac:dyDescent="0.3">
      <c r="A952" t="s">
        <v>1304</v>
      </c>
      <c r="B952" s="1">
        <v>45159</v>
      </c>
      <c r="C952" t="s">
        <v>1305</v>
      </c>
      <c r="D952" t="s">
        <v>85</v>
      </c>
      <c r="E952" t="s">
        <v>26</v>
      </c>
      <c r="F952" t="s">
        <v>18</v>
      </c>
      <c r="G952" t="s">
        <v>19</v>
      </c>
      <c r="H952" t="s">
        <v>20</v>
      </c>
      <c r="I952" t="s">
        <v>21</v>
      </c>
      <c r="J952" t="s">
        <v>37</v>
      </c>
      <c r="K952" s="2">
        <v>18962.939999999999</v>
      </c>
      <c r="L952" s="4">
        <v>7</v>
      </c>
      <c r="M952" s="3">
        <v>0.28999999999999998</v>
      </c>
      <c r="N952" s="2">
        <v>-853.33</v>
      </c>
    </row>
    <row r="953" spans="1:14" x14ac:dyDescent="0.3">
      <c r="A953" t="s">
        <v>1548</v>
      </c>
      <c r="B953" s="1">
        <v>45159</v>
      </c>
      <c r="C953" t="s">
        <v>1056</v>
      </c>
      <c r="D953" t="s">
        <v>16</v>
      </c>
      <c r="E953" t="s">
        <v>17</v>
      </c>
      <c r="F953" t="s">
        <v>27</v>
      </c>
      <c r="G953" t="s">
        <v>28</v>
      </c>
      <c r="H953" t="s">
        <v>20</v>
      </c>
      <c r="I953" t="s">
        <v>21</v>
      </c>
      <c r="J953" t="s">
        <v>54</v>
      </c>
      <c r="K953" s="2">
        <v>10022.16</v>
      </c>
      <c r="L953" s="4">
        <v>1</v>
      </c>
      <c r="M953" s="3">
        <v>0.17</v>
      </c>
      <c r="N953" s="2">
        <v>150.33000000000001</v>
      </c>
    </row>
    <row r="954" spans="1:14" x14ac:dyDescent="0.3">
      <c r="A954" t="s">
        <v>1774</v>
      </c>
      <c r="B954" s="1">
        <v>45159</v>
      </c>
      <c r="C954" t="s">
        <v>691</v>
      </c>
      <c r="D954" t="s">
        <v>50</v>
      </c>
      <c r="E954" t="s">
        <v>17</v>
      </c>
      <c r="F954" t="s">
        <v>27</v>
      </c>
      <c r="G954" t="s">
        <v>28</v>
      </c>
      <c r="H954" t="s">
        <v>20</v>
      </c>
      <c r="I954" t="s">
        <v>29</v>
      </c>
      <c r="J954" t="s">
        <v>58</v>
      </c>
      <c r="K954" s="2">
        <v>10277.06</v>
      </c>
      <c r="L954" s="4">
        <v>10</v>
      </c>
      <c r="M954" s="3">
        <v>0.06</v>
      </c>
      <c r="N954" s="2">
        <v>719.39</v>
      </c>
    </row>
    <row r="955" spans="1:14" x14ac:dyDescent="0.3">
      <c r="A955" t="s">
        <v>1087</v>
      </c>
      <c r="B955" s="1">
        <v>45159</v>
      </c>
      <c r="C955" t="s">
        <v>200</v>
      </c>
      <c r="D955" t="s">
        <v>85</v>
      </c>
      <c r="E955" t="s">
        <v>26</v>
      </c>
      <c r="F955" t="s">
        <v>40</v>
      </c>
      <c r="G955" t="s">
        <v>41</v>
      </c>
      <c r="H955" t="s">
        <v>42</v>
      </c>
      <c r="I955" t="s">
        <v>21</v>
      </c>
      <c r="J955" t="s">
        <v>37</v>
      </c>
      <c r="K955" s="2">
        <v>7284.88</v>
      </c>
      <c r="L955" s="4">
        <v>9</v>
      </c>
      <c r="M955" s="3">
        <v>0.28999999999999998</v>
      </c>
      <c r="N955" s="2">
        <v>-327.82</v>
      </c>
    </row>
    <row r="956" spans="1:14" x14ac:dyDescent="0.3">
      <c r="A956" t="s">
        <v>1431</v>
      </c>
      <c r="B956" s="1">
        <v>45160</v>
      </c>
      <c r="C956" t="s">
        <v>1432</v>
      </c>
      <c r="D956" t="s">
        <v>57</v>
      </c>
      <c r="E956" t="s">
        <v>17</v>
      </c>
      <c r="F956" t="s">
        <v>34</v>
      </c>
      <c r="G956" t="s">
        <v>35</v>
      </c>
      <c r="H956" t="s">
        <v>36</v>
      </c>
      <c r="I956" t="s">
        <v>43</v>
      </c>
      <c r="J956" t="s">
        <v>37</v>
      </c>
      <c r="K956" s="2">
        <v>40779.32</v>
      </c>
      <c r="L956" s="4">
        <v>7</v>
      </c>
      <c r="M956" s="3">
        <v>0.18</v>
      </c>
      <c r="N956" s="2">
        <v>407.79</v>
      </c>
    </row>
    <row r="957" spans="1:14" x14ac:dyDescent="0.3">
      <c r="A957" t="s">
        <v>1717</v>
      </c>
      <c r="B957" s="1">
        <v>45160</v>
      </c>
      <c r="C957" t="s">
        <v>1718</v>
      </c>
      <c r="D957" t="s">
        <v>61</v>
      </c>
      <c r="E957" t="s">
        <v>17</v>
      </c>
      <c r="F957" t="s">
        <v>34</v>
      </c>
      <c r="G957" t="s">
        <v>35</v>
      </c>
      <c r="H957" t="s">
        <v>36</v>
      </c>
      <c r="I957" t="s">
        <v>21</v>
      </c>
      <c r="J957" t="s">
        <v>64</v>
      </c>
      <c r="K957" s="2">
        <v>3273.9</v>
      </c>
      <c r="L957" s="4">
        <v>1</v>
      </c>
      <c r="M957" s="3">
        <v>0.21</v>
      </c>
      <c r="N957" s="2">
        <v>-16.37</v>
      </c>
    </row>
    <row r="958" spans="1:14" x14ac:dyDescent="0.3">
      <c r="A958" t="s">
        <v>1974</v>
      </c>
      <c r="B958" s="1">
        <v>45160</v>
      </c>
      <c r="C958" t="s">
        <v>900</v>
      </c>
      <c r="D958" t="s">
        <v>50</v>
      </c>
      <c r="E958" t="s">
        <v>51</v>
      </c>
      <c r="F958" t="s">
        <v>46</v>
      </c>
      <c r="G958" t="s">
        <v>46</v>
      </c>
      <c r="H958" t="s">
        <v>47</v>
      </c>
      <c r="I958" t="s">
        <v>21</v>
      </c>
      <c r="J958" t="s">
        <v>106</v>
      </c>
      <c r="K958" s="2">
        <v>1450.3</v>
      </c>
      <c r="L958" s="4">
        <v>3</v>
      </c>
      <c r="M958" s="3">
        <v>0.08</v>
      </c>
      <c r="N958" s="2">
        <v>87.02</v>
      </c>
    </row>
    <row r="959" spans="1:14" x14ac:dyDescent="0.3">
      <c r="A959" t="s">
        <v>2125</v>
      </c>
      <c r="B959" s="1">
        <v>45160</v>
      </c>
      <c r="C959" t="s">
        <v>1997</v>
      </c>
      <c r="D959" t="s">
        <v>16</v>
      </c>
      <c r="E959" t="s">
        <v>17</v>
      </c>
      <c r="F959" t="s">
        <v>18</v>
      </c>
      <c r="G959" t="s">
        <v>19</v>
      </c>
      <c r="H959" t="s">
        <v>20</v>
      </c>
      <c r="I959" t="s">
        <v>29</v>
      </c>
      <c r="J959" t="s">
        <v>58</v>
      </c>
      <c r="K959" s="2">
        <v>36460.82</v>
      </c>
      <c r="L959" s="4">
        <v>6</v>
      </c>
      <c r="M959" s="3">
        <v>0.13</v>
      </c>
      <c r="N959" s="2">
        <v>1276.1300000000001</v>
      </c>
    </row>
    <row r="960" spans="1:14" x14ac:dyDescent="0.3">
      <c r="A960" t="s">
        <v>735</v>
      </c>
      <c r="B960" s="1">
        <v>45160</v>
      </c>
      <c r="C960" t="s">
        <v>736</v>
      </c>
      <c r="D960" t="s">
        <v>25</v>
      </c>
      <c r="E960" t="s">
        <v>17</v>
      </c>
      <c r="F960" t="s">
        <v>27</v>
      </c>
      <c r="G960" t="s">
        <v>28</v>
      </c>
      <c r="H960" t="s">
        <v>20</v>
      </c>
      <c r="I960" t="s">
        <v>21</v>
      </c>
      <c r="J960" t="s">
        <v>54</v>
      </c>
      <c r="K960" s="2">
        <v>38627.360000000001</v>
      </c>
      <c r="L960" s="4">
        <v>9</v>
      </c>
      <c r="M960" s="3">
        <v>0.11</v>
      </c>
      <c r="N960" s="2">
        <v>1738.23</v>
      </c>
    </row>
    <row r="961" spans="1:14" x14ac:dyDescent="0.3">
      <c r="A961" t="s">
        <v>635</v>
      </c>
      <c r="B961" s="1">
        <v>45161</v>
      </c>
      <c r="C961" t="s">
        <v>423</v>
      </c>
      <c r="D961" t="s">
        <v>61</v>
      </c>
      <c r="E961" t="s">
        <v>51</v>
      </c>
      <c r="F961" t="s">
        <v>40</v>
      </c>
      <c r="G961" t="s">
        <v>41</v>
      </c>
      <c r="H961" t="s">
        <v>42</v>
      </c>
      <c r="I961" t="s">
        <v>21</v>
      </c>
      <c r="J961" t="s">
        <v>54</v>
      </c>
      <c r="K961" s="2">
        <v>41316.269999999997</v>
      </c>
      <c r="L961" s="4">
        <v>10</v>
      </c>
      <c r="M961" s="3">
        <v>0.21</v>
      </c>
      <c r="N961" s="2">
        <v>-206.58</v>
      </c>
    </row>
    <row r="962" spans="1:14" x14ac:dyDescent="0.3">
      <c r="A962" t="s">
        <v>768</v>
      </c>
      <c r="B962" s="1">
        <v>45161</v>
      </c>
      <c r="C962" t="s">
        <v>769</v>
      </c>
      <c r="D962" t="s">
        <v>33</v>
      </c>
      <c r="E962" t="s">
        <v>51</v>
      </c>
      <c r="F962" t="s">
        <v>46</v>
      </c>
      <c r="G962" t="s">
        <v>46</v>
      </c>
      <c r="H962" t="s">
        <v>47</v>
      </c>
      <c r="I962" t="s">
        <v>29</v>
      </c>
      <c r="J962" t="s">
        <v>54</v>
      </c>
      <c r="K962" s="2">
        <v>31291.24</v>
      </c>
      <c r="L962" s="4">
        <v>8</v>
      </c>
      <c r="M962" s="3">
        <v>0.23</v>
      </c>
      <c r="N962" s="2">
        <v>-469.37</v>
      </c>
    </row>
    <row r="963" spans="1:14" x14ac:dyDescent="0.3">
      <c r="A963" t="s">
        <v>1847</v>
      </c>
      <c r="B963" s="1">
        <v>45161</v>
      </c>
      <c r="C963" t="s">
        <v>1848</v>
      </c>
      <c r="D963" t="s">
        <v>61</v>
      </c>
      <c r="E963" t="s">
        <v>26</v>
      </c>
      <c r="F963" t="s">
        <v>34</v>
      </c>
      <c r="G963" t="s">
        <v>35</v>
      </c>
      <c r="H963" t="s">
        <v>36</v>
      </c>
      <c r="I963" t="s">
        <v>43</v>
      </c>
      <c r="J963" t="s">
        <v>106</v>
      </c>
      <c r="K963" s="2">
        <v>47291.44</v>
      </c>
      <c r="L963" s="4">
        <v>4</v>
      </c>
      <c r="M963" s="3">
        <v>0.03</v>
      </c>
      <c r="N963" s="2">
        <v>4019.77</v>
      </c>
    </row>
    <row r="964" spans="1:14" x14ac:dyDescent="0.3">
      <c r="A964" t="s">
        <v>773</v>
      </c>
      <c r="B964" s="1">
        <v>45161</v>
      </c>
      <c r="C964" t="s">
        <v>774</v>
      </c>
      <c r="D964" t="s">
        <v>61</v>
      </c>
      <c r="E964" t="s">
        <v>51</v>
      </c>
      <c r="F964" t="s">
        <v>34</v>
      </c>
      <c r="G964" t="s">
        <v>35</v>
      </c>
      <c r="H964" t="s">
        <v>36</v>
      </c>
      <c r="I964" t="s">
        <v>43</v>
      </c>
      <c r="J964" t="s">
        <v>64</v>
      </c>
      <c r="K964" s="2">
        <v>36153.5</v>
      </c>
      <c r="L964" s="4">
        <v>7</v>
      </c>
      <c r="M964" s="3">
        <v>0.14000000000000001</v>
      </c>
      <c r="N964" s="2">
        <v>1084.6099999999999</v>
      </c>
    </row>
    <row r="965" spans="1:14" x14ac:dyDescent="0.3">
      <c r="A965" t="s">
        <v>1377</v>
      </c>
      <c r="B965" s="1">
        <v>45162</v>
      </c>
      <c r="C965" t="s">
        <v>612</v>
      </c>
      <c r="D965" t="s">
        <v>50</v>
      </c>
      <c r="E965" t="s">
        <v>17</v>
      </c>
      <c r="F965" t="s">
        <v>79</v>
      </c>
      <c r="G965" t="s">
        <v>80</v>
      </c>
      <c r="H965" t="s">
        <v>47</v>
      </c>
      <c r="I965" t="s">
        <v>29</v>
      </c>
      <c r="J965" t="s">
        <v>106</v>
      </c>
      <c r="K965" s="2">
        <v>25540.54</v>
      </c>
      <c r="L965" s="4">
        <v>6</v>
      </c>
      <c r="M965" s="3">
        <v>0.23</v>
      </c>
      <c r="N965" s="2">
        <v>-383.11</v>
      </c>
    </row>
    <row r="966" spans="1:14" x14ac:dyDescent="0.3">
      <c r="A966" t="s">
        <v>1385</v>
      </c>
      <c r="B966" s="1">
        <v>45162</v>
      </c>
      <c r="C966" t="s">
        <v>744</v>
      </c>
      <c r="D966" t="s">
        <v>25</v>
      </c>
      <c r="E966" t="s">
        <v>17</v>
      </c>
      <c r="F966" t="s">
        <v>18</v>
      </c>
      <c r="G966" t="s">
        <v>19</v>
      </c>
      <c r="H966" t="s">
        <v>20</v>
      </c>
      <c r="I966" t="s">
        <v>43</v>
      </c>
      <c r="J966" t="s">
        <v>54</v>
      </c>
      <c r="K966" s="2">
        <v>29717.77</v>
      </c>
      <c r="L966" s="4">
        <v>2</v>
      </c>
      <c r="M966" s="3">
        <v>0.09</v>
      </c>
      <c r="N966" s="2">
        <v>1634.48</v>
      </c>
    </row>
    <row r="967" spans="1:14" x14ac:dyDescent="0.3">
      <c r="A967" t="s">
        <v>1417</v>
      </c>
      <c r="B967" s="1">
        <v>45162</v>
      </c>
      <c r="C967" t="s">
        <v>1058</v>
      </c>
      <c r="D967" t="s">
        <v>50</v>
      </c>
      <c r="E967" t="s">
        <v>26</v>
      </c>
      <c r="F967" t="s">
        <v>27</v>
      </c>
      <c r="G967" t="s">
        <v>28</v>
      </c>
      <c r="H967" t="s">
        <v>20</v>
      </c>
      <c r="I967" t="s">
        <v>43</v>
      </c>
      <c r="J967" t="s">
        <v>58</v>
      </c>
      <c r="K967" s="2">
        <v>3713.17</v>
      </c>
      <c r="L967" s="4">
        <v>5</v>
      </c>
      <c r="M967" s="3">
        <v>0.03</v>
      </c>
      <c r="N967" s="2">
        <v>315.62</v>
      </c>
    </row>
    <row r="968" spans="1:14" x14ac:dyDescent="0.3">
      <c r="A968" t="s">
        <v>1886</v>
      </c>
      <c r="B968" s="1">
        <v>45162</v>
      </c>
      <c r="C968" t="s">
        <v>439</v>
      </c>
      <c r="D968" t="s">
        <v>25</v>
      </c>
      <c r="E968" t="s">
        <v>51</v>
      </c>
      <c r="F968" t="s">
        <v>27</v>
      </c>
      <c r="G968" t="s">
        <v>28</v>
      </c>
      <c r="H968" t="s">
        <v>20</v>
      </c>
      <c r="I968" t="s">
        <v>43</v>
      </c>
      <c r="J968" t="s">
        <v>106</v>
      </c>
      <c r="K968" s="2">
        <v>26776.43</v>
      </c>
      <c r="L968" s="4">
        <v>7</v>
      </c>
      <c r="M968" s="3">
        <v>0.27</v>
      </c>
      <c r="N968" s="2">
        <v>-937.18</v>
      </c>
    </row>
    <row r="969" spans="1:14" x14ac:dyDescent="0.3">
      <c r="A969" t="s">
        <v>2216</v>
      </c>
      <c r="B969" s="1">
        <v>45162</v>
      </c>
      <c r="C969" t="s">
        <v>435</v>
      </c>
      <c r="D969" t="s">
        <v>25</v>
      </c>
      <c r="E969" t="s">
        <v>26</v>
      </c>
      <c r="F969" t="s">
        <v>27</v>
      </c>
      <c r="G969" t="s">
        <v>28</v>
      </c>
      <c r="H969" t="s">
        <v>20</v>
      </c>
      <c r="I969" t="s">
        <v>29</v>
      </c>
      <c r="J969" t="s">
        <v>37</v>
      </c>
      <c r="K969" s="2">
        <v>11389.32</v>
      </c>
      <c r="L969" s="4">
        <v>9</v>
      </c>
      <c r="M969" s="3">
        <v>0.13</v>
      </c>
      <c r="N969" s="2">
        <v>398.63</v>
      </c>
    </row>
    <row r="970" spans="1:14" x14ac:dyDescent="0.3">
      <c r="A970" t="s">
        <v>298</v>
      </c>
      <c r="B970" s="1">
        <v>45162</v>
      </c>
      <c r="C970" t="s">
        <v>299</v>
      </c>
      <c r="D970" t="s">
        <v>16</v>
      </c>
      <c r="E970" t="s">
        <v>17</v>
      </c>
      <c r="F970" t="s">
        <v>34</v>
      </c>
      <c r="G970" t="s">
        <v>35</v>
      </c>
      <c r="H970" t="s">
        <v>36</v>
      </c>
      <c r="I970" t="s">
        <v>21</v>
      </c>
      <c r="J970" t="s">
        <v>22</v>
      </c>
      <c r="K970" s="2">
        <v>25141.32</v>
      </c>
      <c r="L970" s="4">
        <v>6</v>
      </c>
      <c r="M970" s="3">
        <v>0.21</v>
      </c>
      <c r="N970" s="2">
        <v>-125.71</v>
      </c>
    </row>
    <row r="971" spans="1:14" x14ac:dyDescent="0.3">
      <c r="A971" t="s">
        <v>1173</v>
      </c>
      <c r="B971" s="1">
        <v>45162</v>
      </c>
      <c r="C971" t="s">
        <v>1174</v>
      </c>
      <c r="D971" t="s">
        <v>57</v>
      </c>
      <c r="E971" t="s">
        <v>17</v>
      </c>
      <c r="F971" t="s">
        <v>40</v>
      </c>
      <c r="G971" t="s">
        <v>41</v>
      </c>
      <c r="H971" t="s">
        <v>42</v>
      </c>
      <c r="I971" t="s">
        <v>29</v>
      </c>
      <c r="J971" t="s">
        <v>64</v>
      </c>
      <c r="K971" s="2">
        <v>29676.81</v>
      </c>
      <c r="L971" s="4">
        <v>5</v>
      </c>
      <c r="M971" s="3">
        <v>0.15</v>
      </c>
      <c r="N971" s="2">
        <v>741.92</v>
      </c>
    </row>
    <row r="972" spans="1:14" x14ac:dyDescent="0.3">
      <c r="A972" t="s">
        <v>362</v>
      </c>
      <c r="B972" s="1">
        <v>45163</v>
      </c>
      <c r="C972" t="s">
        <v>363</v>
      </c>
      <c r="D972" t="s">
        <v>57</v>
      </c>
      <c r="E972" t="s">
        <v>17</v>
      </c>
      <c r="F972" t="s">
        <v>40</v>
      </c>
      <c r="G972" t="s">
        <v>41</v>
      </c>
      <c r="H972" t="s">
        <v>42</v>
      </c>
      <c r="I972" t="s">
        <v>21</v>
      </c>
      <c r="J972" t="s">
        <v>58</v>
      </c>
      <c r="K972" s="2">
        <v>46144.41</v>
      </c>
      <c r="L972" s="4">
        <v>4</v>
      </c>
      <c r="M972" s="3">
        <v>0.13</v>
      </c>
      <c r="N972" s="2">
        <v>1615.05</v>
      </c>
    </row>
    <row r="973" spans="1:14" x14ac:dyDescent="0.3">
      <c r="A973" t="s">
        <v>462</v>
      </c>
      <c r="B973" s="1">
        <v>45164</v>
      </c>
      <c r="C973" t="s">
        <v>93</v>
      </c>
      <c r="D973" t="s">
        <v>25</v>
      </c>
      <c r="E973" t="s">
        <v>51</v>
      </c>
      <c r="F973" t="s">
        <v>18</v>
      </c>
      <c r="G973" t="s">
        <v>19</v>
      </c>
      <c r="H973" t="s">
        <v>20</v>
      </c>
      <c r="I973" t="s">
        <v>29</v>
      </c>
      <c r="J973" t="s">
        <v>22</v>
      </c>
      <c r="K973" s="2">
        <v>5153.0200000000004</v>
      </c>
      <c r="L973" s="4">
        <v>7</v>
      </c>
      <c r="M973" s="3">
        <v>0.25</v>
      </c>
      <c r="N973" s="2">
        <v>-128.83000000000001</v>
      </c>
    </row>
    <row r="974" spans="1:14" x14ac:dyDescent="0.3">
      <c r="A974" t="s">
        <v>1707</v>
      </c>
      <c r="B974" s="1">
        <v>45164</v>
      </c>
      <c r="C974" t="s">
        <v>1708</v>
      </c>
      <c r="D974" t="s">
        <v>25</v>
      </c>
      <c r="E974" t="s">
        <v>26</v>
      </c>
      <c r="F974" t="s">
        <v>79</v>
      </c>
      <c r="G974" t="s">
        <v>80</v>
      </c>
      <c r="H974" t="s">
        <v>47</v>
      </c>
      <c r="I974" t="s">
        <v>43</v>
      </c>
      <c r="J974" t="s">
        <v>30</v>
      </c>
      <c r="K974" s="2">
        <v>16519.490000000002</v>
      </c>
      <c r="L974" s="4">
        <v>10</v>
      </c>
      <c r="M974" s="3">
        <v>0.02</v>
      </c>
      <c r="N974" s="2">
        <v>1486.75</v>
      </c>
    </row>
    <row r="975" spans="1:14" x14ac:dyDescent="0.3">
      <c r="A975" t="s">
        <v>2002</v>
      </c>
      <c r="B975" s="1">
        <v>45164</v>
      </c>
      <c r="C975" t="s">
        <v>132</v>
      </c>
      <c r="D975" t="s">
        <v>85</v>
      </c>
      <c r="E975" t="s">
        <v>26</v>
      </c>
      <c r="F975" t="s">
        <v>34</v>
      </c>
      <c r="G975" t="s">
        <v>35</v>
      </c>
      <c r="H975" t="s">
        <v>36</v>
      </c>
      <c r="I975" t="s">
        <v>43</v>
      </c>
      <c r="J975" t="s">
        <v>22</v>
      </c>
      <c r="K975" s="2">
        <v>35834.39</v>
      </c>
      <c r="L975" s="4">
        <v>3</v>
      </c>
      <c r="M975" s="3">
        <v>0.28999999999999998</v>
      </c>
      <c r="N975" s="2">
        <v>-1612.55</v>
      </c>
    </row>
    <row r="976" spans="1:14" x14ac:dyDescent="0.3">
      <c r="A976" t="s">
        <v>2077</v>
      </c>
      <c r="B976" s="1">
        <v>45164</v>
      </c>
      <c r="C976" t="s">
        <v>1058</v>
      </c>
      <c r="D976" t="s">
        <v>25</v>
      </c>
      <c r="E976" t="s">
        <v>17</v>
      </c>
      <c r="F976" t="s">
        <v>27</v>
      </c>
      <c r="G976" t="s">
        <v>28</v>
      </c>
      <c r="H976" t="s">
        <v>20</v>
      </c>
      <c r="I976" t="s">
        <v>21</v>
      </c>
      <c r="J976" t="s">
        <v>54</v>
      </c>
      <c r="K976" s="2">
        <v>47315.79</v>
      </c>
      <c r="L976" s="4">
        <v>3</v>
      </c>
      <c r="M976" s="3">
        <v>0.22</v>
      </c>
      <c r="N976" s="2">
        <v>-473.16</v>
      </c>
    </row>
    <row r="977" spans="1:14" x14ac:dyDescent="0.3">
      <c r="A977" t="s">
        <v>294</v>
      </c>
      <c r="B977" s="1">
        <v>45164</v>
      </c>
      <c r="C977" t="s">
        <v>295</v>
      </c>
      <c r="D977" t="s">
        <v>25</v>
      </c>
      <c r="E977" t="s">
        <v>17</v>
      </c>
      <c r="F977" t="s">
        <v>27</v>
      </c>
      <c r="G977" t="s">
        <v>28</v>
      </c>
      <c r="H977" t="s">
        <v>20</v>
      </c>
      <c r="I977" t="s">
        <v>29</v>
      </c>
      <c r="J977" t="s">
        <v>22</v>
      </c>
      <c r="K977" s="2">
        <v>47266.78</v>
      </c>
      <c r="L977" s="4">
        <v>9</v>
      </c>
      <c r="M977" s="3">
        <v>0.28999999999999998</v>
      </c>
      <c r="N977" s="2">
        <v>-2127.0100000000002</v>
      </c>
    </row>
    <row r="978" spans="1:14" x14ac:dyDescent="0.3">
      <c r="A978" t="s">
        <v>396</v>
      </c>
      <c r="B978" s="1">
        <v>45164</v>
      </c>
      <c r="C978" t="s">
        <v>397</v>
      </c>
      <c r="D978" t="s">
        <v>50</v>
      </c>
      <c r="E978" t="s">
        <v>17</v>
      </c>
      <c r="F978" t="s">
        <v>27</v>
      </c>
      <c r="G978" t="s">
        <v>28</v>
      </c>
      <c r="H978" t="s">
        <v>20</v>
      </c>
      <c r="I978" t="s">
        <v>29</v>
      </c>
      <c r="J978" t="s">
        <v>30</v>
      </c>
      <c r="K978" s="2">
        <v>31997.18</v>
      </c>
      <c r="L978" s="4">
        <v>6</v>
      </c>
      <c r="M978" s="3">
        <v>0.04</v>
      </c>
      <c r="N978" s="2">
        <v>2559.77</v>
      </c>
    </row>
    <row r="979" spans="1:14" x14ac:dyDescent="0.3">
      <c r="A979" t="s">
        <v>827</v>
      </c>
      <c r="B979" s="1">
        <v>45164</v>
      </c>
      <c r="C979" t="s">
        <v>401</v>
      </c>
      <c r="D979" t="s">
        <v>33</v>
      </c>
      <c r="E979" t="s">
        <v>17</v>
      </c>
      <c r="F979" t="s">
        <v>34</v>
      </c>
      <c r="G979" t="s">
        <v>35</v>
      </c>
      <c r="H979" t="s">
        <v>36</v>
      </c>
      <c r="I979" t="s">
        <v>29</v>
      </c>
      <c r="J979" t="s">
        <v>106</v>
      </c>
      <c r="K979" s="2">
        <v>13028.64</v>
      </c>
      <c r="L979" s="4">
        <v>3</v>
      </c>
      <c r="M979" s="3">
        <v>0.28000000000000003</v>
      </c>
      <c r="N979" s="2">
        <v>-521.15</v>
      </c>
    </row>
    <row r="980" spans="1:14" x14ac:dyDescent="0.3">
      <c r="A980" t="s">
        <v>107</v>
      </c>
      <c r="B980" s="1">
        <v>45164</v>
      </c>
      <c r="C980" t="s">
        <v>108</v>
      </c>
      <c r="D980" t="s">
        <v>33</v>
      </c>
      <c r="E980" t="s">
        <v>17</v>
      </c>
      <c r="F980" t="s">
        <v>79</v>
      </c>
      <c r="G980" t="s">
        <v>80</v>
      </c>
      <c r="H980" t="s">
        <v>47</v>
      </c>
      <c r="I980" t="s">
        <v>21</v>
      </c>
      <c r="J980" t="s">
        <v>106</v>
      </c>
      <c r="K980" s="2">
        <v>19326.88</v>
      </c>
      <c r="L980" s="4">
        <v>5</v>
      </c>
      <c r="M980" s="3">
        <v>0.11</v>
      </c>
      <c r="N980" s="2">
        <v>869.71</v>
      </c>
    </row>
    <row r="981" spans="1:14" x14ac:dyDescent="0.3">
      <c r="A981" t="s">
        <v>929</v>
      </c>
      <c r="B981" s="1">
        <v>45165</v>
      </c>
      <c r="C981" t="s">
        <v>930</v>
      </c>
      <c r="D981" t="s">
        <v>16</v>
      </c>
      <c r="E981" t="s">
        <v>26</v>
      </c>
      <c r="F981" t="s">
        <v>79</v>
      </c>
      <c r="G981" t="s">
        <v>80</v>
      </c>
      <c r="H981" t="s">
        <v>47</v>
      </c>
      <c r="I981" t="s">
        <v>29</v>
      </c>
      <c r="J981" t="s">
        <v>22</v>
      </c>
      <c r="K981" s="2">
        <v>45530.6</v>
      </c>
      <c r="L981" s="4">
        <v>4</v>
      </c>
      <c r="M981" s="3">
        <v>0.22</v>
      </c>
      <c r="N981" s="2">
        <v>-455.31</v>
      </c>
    </row>
    <row r="982" spans="1:14" x14ac:dyDescent="0.3">
      <c r="A982" t="s">
        <v>1980</v>
      </c>
      <c r="B982" s="1">
        <v>45165</v>
      </c>
      <c r="C982" t="s">
        <v>156</v>
      </c>
      <c r="D982" t="s">
        <v>50</v>
      </c>
      <c r="E982" t="s">
        <v>26</v>
      </c>
      <c r="F982" t="s">
        <v>34</v>
      </c>
      <c r="G982" t="s">
        <v>35</v>
      </c>
      <c r="H982" t="s">
        <v>36</v>
      </c>
      <c r="I982" t="s">
        <v>21</v>
      </c>
      <c r="J982" t="s">
        <v>30</v>
      </c>
      <c r="K982" s="2">
        <v>17795.98</v>
      </c>
      <c r="L982" s="4">
        <v>5</v>
      </c>
      <c r="M982" s="3">
        <v>0.14000000000000001</v>
      </c>
      <c r="N982" s="2">
        <v>533.88</v>
      </c>
    </row>
    <row r="983" spans="1:14" x14ac:dyDescent="0.3">
      <c r="A983" t="s">
        <v>1990</v>
      </c>
      <c r="B983" s="1">
        <v>45165</v>
      </c>
      <c r="C983" t="s">
        <v>1991</v>
      </c>
      <c r="D983" t="s">
        <v>50</v>
      </c>
      <c r="E983" t="s">
        <v>51</v>
      </c>
      <c r="F983" t="s">
        <v>27</v>
      </c>
      <c r="G983" t="s">
        <v>28</v>
      </c>
      <c r="H983" t="s">
        <v>20</v>
      </c>
      <c r="I983" t="s">
        <v>29</v>
      </c>
      <c r="J983" t="s">
        <v>54</v>
      </c>
      <c r="K983" s="2">
        <v>45151.32</v>
      </c>
      <c r="L983" s="4">
        <v>4</v>
      </c>
      <c r="M983" s="3">
        <v>0.12</v>
      </c>
      <c r="N983" s="2">
        <v>1806.05</v>
      </c>
    </row>
    <row r="984" spans="1:14" x14ac:dyDescent="0.3">
      <c r="A984" t="s">
        <v>65</v>
      </c>
      <c r="B984" s="1">
        <v>45165</v>
      </c>
      <c r="C984" t="s">
        <v>66</v>
      </c>
      <c r="D984" t="s">
        <v>33</v>
      </c>
      <c r="E984" t="s">
        <v>17</v>
      </c>
      <c r="F984" t="s">
        <v>27</v>
      </c>
      <c r="G984" t="s">
        <v>28</v>
      </c>
      <c r="H984" t="s">
        <v>20</v>
      </c>
      <c r="I984" t="s">
        <v>29</v>
      </c>
      <c r="J984" t="s">
        <v>54</v>
      </c>
      <c r="K984" s="2">
        <v>16901</v>
      </c>
      <c r="L984" s="4">
        <v>8</v>
      </c>
      <c r="M984" s="3">
        <v>0.26</v>
      </c>
      <c r="N984" s="2">
        <v>-507.03</v>
      </c>
    </row>
    <row r="985" spans="1:14" x14ac:dyDescent="0.3">
      <c r="A985" t="s">
        <v>881</v>
      </c>
      <c r="B985" s="1">
        <v>45166</v>
      </c>
      <c r="C985" t="s">
        <v>491</v>
      </c>
      <c r="D985" t="s">
        <v>50</v>
      </c>
      <c r="E985" t="s">
        <v>26</v>
      </c>
      <c r="F985" t="s">
        <v>34</v>
      </c>
      <c r="G985" t="s">
        <v>35</v>
      </c>
      <c r="H985" t="s">
        <v>36</v>
      </c>
      <c r="I985" t="s">
        <v>21</v>
      </c>
      <c r="J985" t="s">
        <v>54</v>
      </c>
      <c r="K985" s="2">
        <v>46148.33</v>
      </c>
      <c r="L985" s="4">
        <v>6</v>
      </c>
      <c r="M985" s="3">
        <v>0.1</v>
      </c>
      <c r="N985" s="2">
        <v>2307.42</v>
      </c>
    </row>
    <row r="986" spans="1:14" x14ac:dyDescent="0.3">
      <c r="A986" t="s">
        <v>1134</v>
      </c>
      <c r="B986" s="1">
        <v>45166</v>
      </c>
      <c r="C986" t="s">
        <v>1135</v>
      </c>
      <c r="D986" t="s">
        <v>85</v>
      </c>
      <c r="E986" t="s">
        <v>51</v>
      </c>
      <c r="F986" t="s">
        <v>34</v>
      </c>
      <c r="G986" t="s">
        <v>35</v>
      </c>
      <c r="H986" t="s">
        <v>36</v>
      </c>
      <c r="I986" t="s">
        <v>21</v>
      </c>
      <c r="J986" t="s">
        <v>22</v>
      </c>
      <c r="K986" s="2">
        <v>33491.18</v>
      </c>
      <c r="L986" s="4">
        <v>2</v>
      </c>
      <c r="M986" s="3">
        <v>0.23</v>
      </c>
      <c r="N986" s="2">
        <v>-502.37</v>
      </c>
    </row>
    <row r="987" spans="1:14" x14ac:dyDescent="0.3">
      <c r="A987" t="s">
        <v>1185</v>
      </c>
      <c r="B987" s="1">
        <v>45166</v>
      </c>
      <c r="C987" t="s">
        <v>871</v>
      </c>
      <c r="D987" t="s">
        <v>50</v>
      </c>
      <c r="E987" t="s">
        <v>17</v>
      </c>
      <c r="F987" t="s">
        <v>27</v>
      </c>
      <c r="G987" t="s">
        <v>28</v>
      </c>
      <c r="H987" t="s">
        <v>20</v>
      </c>
      <c r="I987" t="s">
        <v>21</v>
      </c>
      <c r="J987" t="s">
        <v>64</v>
      </c>
      <c r="K987" s="2">
        <v>36763.360000000001</v>
      </c>
      <c r="L987" s="4">
        <v>8</v>
      </c>
      <c r="M987" s="3">
        <v>0.2</v>
      </c>
      <c r="N987" s="2">
        <v>0</v>
      </c>
    </row>
    <row r="988" spans="1:14" x14ac:dyDescent="0.3">
      <c r="A988" t="s">
        <v>1414</v>
      </c>
      <c r="B988" s="1">
        <v>45166</v>
      </c>
      <c r="C988" t="s">
        <v>415</v>
      </c>
      <c r="D988" t="s">
        <v>50</v>
      </c>
      <c r="E988" t="s">
        <v>26</v>
      </c>
      <c r="F988" t="s">
        <v>34</v>
      </c>
      <c r="G988" t="s">
        <v>35</v>
      </c>
      <c r="H988" t="s">
        <v>36</v>
      </c>
      <c r="I988" t="s">
        <v>29</v>
      </c>
      <c r="J988" t="s">
        <v>37</v>
      </c>
      <c r="K988" s="2">
        <v>26482.74</v>
      </c>
      <c r="L988" s="4">
        <v>10</v>
      </c>
      <c r="M988" s="3">
        <v>0.15</v>
      </c>
      <c r="N988" s="2">
        <v>662.07</v>
      </c>
    </row>
    <row r="989" spans="1:14" x14ac:dyDescent="0.3">
      <c r="A989" t="s">
        <v>975</v>
      </c>
      <c r="B989" s="1">
        <v>45166</v>
      </c>
      <c r="C989" t="s">
        <v>388</v>
      </c>
      <c r="D989" t="s">
        <v>61</v>
      </c>
      <c r="E989" t="s">
        <v>17</v>
      </c>
      <c r="F989" t="s">
        <v>18</v>
      </c>
      <c r="G989" t="s">
        <v>19</v>
      </c>
      <c r="H989" t="s">
        <v>20</v>
      </c>
      <c r="I989" t="s">
        <v>29</v>
      </c>
      <c r="J989" t="s">
        <v>37</v>
      </c>
      <c r="K989" s="2">
        <v>8696.82</v>
      </c>
      <c r="L989" s="4">
        <v>7</v>
      </c>
      <c r="M989" s="3">
        <v>0.22</v>
      </c>
      <c r="N989" s="2">
        <v>-86.97</v>
      </c>
    </row>
    <row r="990" spans="1:14" x14ac:dyDescent="0.3">
      <c r="A990" t="s">
        <v>2003</v>
      </c>
      <c r="B990" s="1">
        <v>45167</v>
      </c>
      <c r="C990" t="s">
        <v>301</v>
      </c>
      <c r="D990" t="s">
        <v>16</v>
      </c>
      <c r="E990" t="s">
        <v>17</v>
      </c>
      <c r="F990" t="s">
        <v>79</v>
      </c>
      <c r="G990" t="s">
        <v>80</v>
      </c>
      <c r="H990" t="s">
        <v>47</v>
      </c>
      <c r="I990" t="s">
        <v>43</v>
      </c>
      <c r="J990" t="s">
        <v>30</v>
      </c>
      <c r="K990" s="2">
        <v>45686.86</v>
      </c>
      <c r="L990" s="4">
        <v>10</v>
      </c>
      <c r="M990" s="3">
        <v>0.04</v>
      </c>
      <c r="N990" s="2">
        <v>3654.95</v>
      </c>
    </row>
    <row r="991" spans="1:14" x14ac:dyDescent="0.3">
      <c r="A991" t="s">
        <v>59</v>
      </c>
      <c r="B991" s="1">
        <v>45168</v>
      </c>
      <c r="C991" t="s">
        <v>60</v>
      </c>
      <c r="D991" t="s">
        <v>61</v>
      </c>
      <c r="E991" t="s">
        <v>17</v>
      </c>
      <c r="F991" t="s">
        <v>18</v>
      </c>
      <c r="G991" t="s">
        <v>19</v>
      </c>
      <c r="H991" t="s">
        <v>20</v>
      </c>
      <c r="I991" t="s">
        <v>43</v>
      </c>
      <c r="J991" t="s">
        <v>37</v>
      </c>
      <c r="K991" s="2">
        <v>34476.839999999997</v>
      </c>
      <c r="L991" s="4">
        <v>3</v>
      </c>
      <c r="M991" s="3">
        <v>0.19</v>
      </c>
      <c r="N991" s="2">
        <v>172.38</v>
      </c>
    </row>
    <row r="992" spans="1:14" x14ac:dyDescent="0.3">
      <c r="A992" t="s">
        <v>398</v>
      </c>
      <c r="B992" s="1">
        <v>45168</v>
      </c>
      <c r="C992" t="s">
        <v>399</v>
      </c>
      <c r="D992" t="s">
        <v>50</v>
      </c>
      <c r="E992" t="s">
        <v>26</v>
      </c>
      <c r="F992" t="s">
        <v>46</v>
      </c>
      <c r="G992" t="s">
        <v>46</v>
      </c>
      <c r="H992" t="s">
        <v>47</v>
      </c>
      <c r="I992" t="s">
        <v>21</v>
      </c>
      <c r="J992" t="s">
        <v>106</v>
      </c>
      <c r="K992" s="2">
        <v>33380.01</v>
      </c>
      <c r="L992" s="4">
        <v>4</v>
      </c>
      <c r="M992" s="3">
        <v>0.28000000000000003</v>
      </c>
      <c r="N992" s="2">
        <v>-1335.2</v>
      </c>
    </row>
    <row r="993" spans="1:14" x14ac:dyDescent="0.3">
      <c r="A993" t="s">
        <v>1054</v>
      </c>
      <c r="B993" s="1">
        <v>45168</v>
      </c>
      <c r="C993" t="s">
        <v>868</v>
      </c>
      <c r="D993" t="s">
        <v>61</v>
      </c>
      <c r="E993" t="s">
        <v>51</v>
      </c>
      <c r="F993" t="s">
        <v>18</v>
      </c>
      <c r="G993" t="s">
        <v>19</v>
      </c>
      <c r="H993" t="s">
        <v>20</v>
      </c>
      <c r="I993" t="s">
        <v>21</v>
      </c>
      <c r="J993" t="s">
        <v>37</v>
      </c>
      <c r="K993" s="2">
        <v>13657.28</v>
      </c>
      <c r="L993" s="4">
        <v>2</v>
      </c>
      <c r="M993" s="3">
        <v>0.03</v>
      </c>
      <c r="N993" s="2">
        <v>1160.8699999999999</v>
      </c>
    </row>
    <row r="994" spans="1:14" x14ac:dyDescent="0.3">
      <c r="A994" t="s">
        <v>1128</v>
      </c>
      <c r="B994" s="1">
        <v>45168</v>
      </c>
      <c r="C994" t="s">
        <v>246</v>
      </c>
      <c r="D994" t="s">
        <v>33</v>
      </c>
      <c r="E994" t="s">
        <v>26</v>
      </c>
      <c r="F994" t="s">
        <v>34</v>
      </c>
      <c r="G994" t="s">
        <v>35</v>
      </c>
      <c r="H994" t="s">
        <v>36</v>
      </c>
      <c r="I994" t="s">
        <v>29</v>
      </c>
      <c r="J994" t="s">
        <v>37</v>
      </c>
      <c r="K994" s="2">
        <v>33799.339999999997</v>
      </c>
      <c r="L994" s="4">
        <v>8</v>
      </c>
      <c r="M994" s="3">
        <v>0.03</v>
      </c>
      <c r="N994" s="2">
        <v>2872.94</v>
      </c>
    </row>
    <row r="995" spans="1:14" x14ac:dyDescent="0.3">
      <c r="A995" t="s">
        <v>1977</v>
      </c>
      <c r="B995" s="1">
        <v>45168</v>
      </c>
      <c r="C995" t="s">
        <v>676</v>
      </c>
      <c r="D995" t="s">
        <v>16</v>
      </c>
      <c r="E995" t="s">
        <v>51</v>
      </c>
      <c r="F995" t="s">
        <v>46</v>
      </c>
      <c r="G995" t="s">
        <v>46</v>
      </c>
      <c r="H995" t="s">
        <v>47</v>
      </c>
      <c r="I995" t="s">
        <v>21</v>
      </c>
      <c r="J995" t="s">
        <v>54</v>
      </c>
      <c r="K995" s="2">
        <v>2087.3000000000002</v>
      </c>
      <c r="L995" s="4">
        <v>4</v>
      </c>
      <c r="M995" s="3">
        <v>0.2</v>
      </c>
      <c r="N995" s="2">
        <v>0</v>
      </c>
    </row>
    <row r="996" spans="1:14" x14ac:dyDescent="0.3">
      <c r="A996" t="s">
        <v>1182</v>
      </c>
      <c r="B996" s="1">
        <v>45169</v>
      </c>
      <c r="C996" t="s">
        <v>1183</v>
      </c>
      <c r="D996" t="s">
        <v>85</v>
      </c>
      <c r="E996" t="s">
        <v>26</v>
      </c>
      <c r="F996" t="s">
        <v>18</v>
      </c>
      <c r="G996" t="s">
        <v>19</v>
      </c>
      <c r="H996" t="s">
        <v>20</v>
      </c>
      <c r="I996" t="s">
        <v>43</v>
      </c>
      <c r="J996" t="s">
        <v>64</v>
      </c>
      <c r="K996" s="2">
        <v>23610.07</v>
      </c>
      <c r="L996" s="4">
        <v>4</v>
      </c>
      <c r="M996" s="3">
        <v>0.2</v>
      </c>
      <c r="N996" s="2">
        <v>0</v>
      </c>
    </row>
    <row r="997" spans="1:14" x14ac:dyDescent="0.3">
      <c r="A997" t="s">
        <v>1046</v>
      </c>
      <c r="B997" s="1">
        <v>45169</v>
      </c>
      <c r="C997" t="s">
        <v>1047</v>
      </c>
      <c r="D997" t="s">
        <v>50</v>
      </c>
      <c r="E997" t="s">
        <v>26</v>
      </c>
      <c r="F997" t="s">
        <v>46</v>
      </c>
      <c r="G997" t="s">
        <v>46</v>
      </c>
      <c r="H997" t="s">
        <v>47</v>
      </c>
      <c r="I997" t="s">
        <v>21</v>
      </c>
      <c r="J997" t="s">
        <v>64</v>
      </c>
      <c r="K997" s="2">
        <v>17408.02</v>
      </c>
      <c r="L997" s="4">
        <v>10</v>
      </c>
      <c r="M997" s="3">
        <v>0.04</v>
      </c>
      <c r="N997" s="2">
        <v>1392.64</v>
      </c>
    </row>
    <row r="998" spans="1:14" x14ac:dyDescent="0.3">
      <c r="A998" t="s">
        <v>1549</v>
      </c>
      <c r="B998" s="1">
        <v>45169</v>
      </c>
      <c r="C998" t="s">
        <v>1550</v>
      </c>
      <c r="D998" t="s">
        <v>16</v>
      </c>
      <c r="E998" t="s">
        <v>51</v>
      </c>
      <c r="F998" t="s">
        <v>18</v>
      </c>
      <c r="G998" t="s">
        <v>19</v>
      </c>
      <c r="H998" t="s">
        <v>20</v>
      </c>
      <c r="I998" t="s">
        <v>21</v>
      </c>
      <c r="J998" t="s">
        <v>22</v>
      </c>
      <c r="K998" s="2">
        <v>36351.82</v>
      </c>
      <c r="L998" s="4">
        <v>7</v>
      </c>
      <c r="M998" s="3">
        <v>0.17</v>
      </c>
      <c r="N998" s="2">
        <v>545.28</v>
      </c>
    </row>
    <row r="999" spans="1:14" x14ac:dyDescent="0.3">
      <c r="A999" t="s">
        <v>1026</v>
      </c>
      <c r="B999" s="1">
        <v>45169</v>
      </c>
      <c r="C999" t="s">
        <v>1027</v>
      </c>
      <c r="D999" t="s">
        <v>25</v>
      </c>
      <c r="E999" t="s">
        <v>51</v>
      </c>
      <c r="F999" t="s">
        <v>79</v>
      </c>
      <c r="G999" t="s">
        <v>80</v>
      </c>
      <c r="H999" t="s">
        <v>47</v>
      </c>
      <c r="I999" t="s">
        <v>21</v>
      </c>
      <c r="J999" t="s">
        <v>37</v>
      </c>
      <c r="K999" s="2">
        <v>21387.24</v>
      </c>
      <c r="L999" s="4">
        <v>7</v>
      </c>
      <c r="M999" s="3">
        <v>0.27</v>
      </c>
      <c r="N999" s="2">
        <v>-748.55</v>
      </c>
    </row>
    <row r="1000" spans="1:14" x14ac:dyDescent="0.3">
      <c r="A1000" t="s">
        <v>987</v>
      </c>
      <c r="B1000" s="1">
        <v>45170</v>
      </c>
      <c r="C1000" t="s">
        <v>988</v>
      </c>
      <c r="D1000" t="s">
        <v>33</v>
      </c>
      <c r="E1000" t="s">
        <v>17</v>
      </c>
      <c r="F1000" t="s">
        <v>18</v>
      </c>
      <c r="G1000" t="s">
        <v>19</v>
      </c>
      <c r="H1000" t="s">
        <v>20</v>
      </c>
      <c r="I1000" t="s">
        <v>21</v>
      </c>
      <c r="J1000" t="s">
        <v>22</v>
      </c>
      <c r="K1000" s="2">
        <v>12397.23</v>
      </c>
      <c r="L1000" s="4">
        <v>4</v>
      </c>
      <c r="M1000" s="3">
        <v>0.23</v>
      </c>
      <c r="N1000" s="2">
        <v>-185.96</v>
      </c>
    </row>
    <row r="1001" spans="1:14" x14ac:dyDescent="0.3">
      <c r="A1001" t="s">
        <v>1270</v>
      </c>
      <c r="B1001" s="1">
        <v>45170</v>
      </c>
      <c r="C1001" t="s">
        <v>1271</v>
      </c>
      <c r="D1001" t="s">
        <v>61</v>
      </c>
      <c r="E1001" t="s">
        <v>51</v>
      </c>
      <c r="F1001" t="s">
        <v>46</v>
      </c>
      <c r="G1001" t="s">
        <v>46</v>
      </c>
      <c r="H1001" t="s">
        <v>47</v>
      </c>
      <c r="I1001" t="s">
        <v>21</v>
      </c>
      <c r="J1001" t="s">
        <v>64</v>
      </c>
      <c r="K1001" s="2">
        <v>5128.03</v>
      </c>
      <c r="L1001" s="4">
        <v>5</v>
      </c>
      <c r="M1001" s="3">
        <v>0.02</v>
      </c>
      <c r="N1001" s="2">
        <v>461.52</v>
      </c>
    </row>
    <row r="1002" spans="1:14" x14ac:dyDescent="0.3">
      <c r="A1002" t="s">
        <v>1148</v>
      </c>
      <c r="B1002" s="1">
        <v>45170</v>
      </c>
      <c r="C1002" t="s">
        <v>1149</v>
      </c>
      <c r="D1002" t="s">
        <v>85</v>
      </c>
      <c r="E1002" t="s">
        <v>51</v>
      </c>
      <c r="F1002" t="s">
        <v>40</v>
      </c>
      <c r="G1002" t="s">
        <v>41</v>
      </c>
      <c r="H1002" t="s">
        <v>42</v>
      </c>
      <c r="I1002" t="s">
        <v>43</v>
      </c>
      <c r="J1002" t="s">
        <v>54</v>
      </c>
      <c r="K1002" s="2">
        <v>34498.43</v>
      </c>
      <c r="L1002" s="4">
        <v>5</v>
      </c>
      <c r="M1002" s="3">
        <v>0.23</v>
      </c>
      <c r="N1002" s="2">
        <v>-517.48</v>
      </c>
    </row>
    <row r="1003" spans="1:14" x14ac:dyDescent="0.3">
      <c r="A1003" t="s">
        <v>543</v>
      </c>
      <c r="B1003" s="1">
        <v>45170</v>
      </c>
      <c r="C1003" t="s">
        <v>544</v>
      </c>
      <c r="D1003" t="s">
        <v>85</v>
      </c>
      <c r="E1003" t="s">
        <v>26</v>
      </c>
      <c r="F1003" t="s">
        <v>34</v>
      </c>
      <c r="G1003" t="s">
        <v>35</v>
      </c>
      <c r="H1003" t="s">
        <v>36</v>
      </c>
      <c r="I1003" t="s">
        <v>43</v>
      </c>
      <c r="J1003" t="s">
        <v>30</v>
      </c>
      <c r="K1003" s="2">
        <v>43966.31</v>
      </c>
      <c r="L1003" s="4">
        <v>1</v>
      </c>
      <c r="M1003" s="3">
        <v>0.2</v>
      </c>
      <c r="N1003" s="2">
        <v>0</v>
      </c>
    </row>
    <row r="1004" spans="1:14" x14ac:dyDescent="0.3">
      <c r="A1004" t="s">
        <v>927</v>
      </c>
      <c r="B1004" s="1">
        <v>45170</v>
      </c>
      <c r="C1004" t="s">
        <v>928</v>
      </c>
      <c r="D1004" t="s">
        <v>61</v>
      </c>
      <c r="E1004" t="s">
        <v>26</v>
      </c>
      <c r="F1004" t="s">
        <v>34</v>
      </c>
      <c r="G1004" t="s">
        <v>35</v>
      </c>
      <c r="H1004" t="s">
        <v>36</v>
      </c>
      <c r="I1004" t="s">
        <v>29</v>
      </c>
      <c r="J1004" t="s">
        <v>54</v>
      </c>
      <c r="K1004" s="2">
        <v>1738.11</v>
      </c>
      <c r="L1004" s="4">
        <v>10</v>
      </c>
      <c r="M1004" s="3">
        <v>0.28999999999999998</v>
      </c>
      <c r="N1004" s="2">
        <v>-78.209999999999994</v>
      </c>
    </row>
    <row r="1005" spans="1:14" x14ac:dyDescent="0.3">
      <c r="A1005" t="s">
        <v>234</v>
      </c>
      <c r="B1005" s="1">
        <v>45170</v>
      </c>
      <c r="C1005" t="s">
        <v>235</v>
      </c>
      <c r="D1005" t="s">
        <v>85</v>
      </c>
      <c r="E1005" t="s">
        <v>26</v>
      </c>
      <c r="F1005" t="s">
        <v>40</v>
      </c>
      <c r="G1005" t="s">
        <v>41</v>
      </c>
      <c r="H1005" t="s">
        <v>42</v>
      </c>
      <c r="I1005" t="s">
        <v>43</v>
      </c>
      <c r="J1005" t="s">
        <v>106</v>
      </c>
      <c r="K1005" s="2">
        <v>41267.57</v>
      </c>
      <c r="L1005" s="4">
        <v>6</v>
      </c>
      <c r="M1005" s="3">
        <v>0.28000000000000003</v>
      </c>
      <c r="N1005" s="2">
        <v>-1650.7</v>
      </c>
    </row>
    <row r="1006" spans="1:14" x14ac:dyDescent="0.3">
      <c r="A1006" t="s">
        <v>300</v>
      </c>
      <c r="B1006" s="1">
        <v>45171</v>
      </c>
      <c r="C1006" t="s">
        <v>301</v>
      </c>
      <c r="D1006" t="s">
        <v>57</v>
      </c>
      <c r="E1006" t="s">
        <v>51</v>
      </c>
      <c r="F1006" t="s">
        <v>34</v>
      </c>
      <c r="G1006" t="s">
        <v>35</v>
      </c>
      <c r="H1006" t="s">
        <v>36</v>
      </c>
      <c r="I1006" t="s">
        <v>21</v>
      </c>
      <c r="J1006" t="s">
        <v>37</v>
      </c>
      <c r="K1006" s="2">
        <v>8973.35</v>
      </c>
      <c r="L1006" s="4">
        <v>2</v>
      </c>
      <c r="M1006" s="3">
        <v>0.24</v>
      </c>
      <c r="N1006" s="2">
        <v>-179.47</v>
      </c>
    </row>
    <row r="1007" spans="1:14" x14ac:dyDescent="0.3">
      <c r="A1007" t="s">
        <v>319</v>
      </c>
      <c r="B1007" s="1">
        <v>45172</v>
      </c>
      <c r="C1007" t="s">
        <v>320</v>
      </c>
      <c r="D1007" t="s">
        <v>50</v>
      </c>
      <c r="E1007" t="s">
        <v>17</v>
      </c>
      <c r="F1007" t="s">
        <v>34</v>
      </c>
      <c r="G1007" t="s">
        <v>35</v>
      </c>
      <c r="H1007" t="s">
        <v>36</v>
      </c>
      <c r="I1007" t="s">
        <v>29</v>
      </c>
      <c r="J1007" t="s">
        <v>37</v>
      </c>
      <c r="K1007" s="2">
        <v>6033.87</v>
      </c>
      <c r="L1007" s="4">
        <v>3</v>
      </c>
      <c r="M1007" s="3">
        <v>0.26</v>
      </c>
      <c r="N1007" s="2">
        <v>-181.02</v>
      </c>
    </row>
    <row r="1008" spans="1:14" x14ac:dyDescent="0.3">
      <c r="A1008" t="s">
        <v>879</v>
      </c>
      <c r="B1008" s="1">
        <v>45172</v>
      </c>
      <c r="C1008" t="s">
        <v>880</v>
      </c>
      <c r="D1008" t="s">
        <v>61</v>
      </c>
      <c r="E1008" t="s">
        <v>26</v>
      </c>
      <c r="F1008" t="s">
        <v>34</v>
      </c>
      <c r="G1008" t="s">
        <v>35</v>
      </c>
      <c r="H1008" t="s">
        <v>36</v>
      </c>
      <c r="I1008" t="s">
        <v>29</v>
      </c>
      <c r="J1008" t="s">
        <v>106</v>
      </c>
      <c r="K1008" s="2">
        <v>30932.49</v>
      </c>
      <c r="L1008" s="4">
        <v>4</v>
      </c>
      <c r="M1008" s="3">
        <v>0.12</v>
      </c>
      <c r="N1008" s="2">
        <v>1237.3</v>
      </c>
    </row>
    <row r="1009" spans="1:14" x14ac:dyDescent="0.3">
      <c r="A1009" t="s">
        <v>1711</v>
      </c>
      <c r="B1009" s="1">
        <v>45172</v>
      </c>
      <c r="C1009" t="s">
        <v>1712</v>
      </c>
      <c r="D1009" t="s">
        <v>25</v>
      </c>
      <c r="E1009" t="s">
        <v>26</v>
      </c>
      <c r="F1009" t="s">
        <v>34</v>
      </c>
      <c r="G1009" t="s">
        <v>35</v>
      </c>
      <c r="H1009" t="s">
        <v>36</v>
      </c>
      <c r="I1009" t="s">
        <v>29</v>
      </c>
      <c r="J1009" t="s">
        <v>30</v>
      </c>
      <c r="K1009" s="2">
        <v>30512.49</v>
      </c>
      <c r="L1009" s="4">
        <v>10</v>
      </c>
      <c r="M1009" s="3">
        <v>0.28999999999999998</v>
      </c>
      <c r="N1009" s="2">
        <v>-1373.06</v>
      </c>
    </row>
    <row r="1010" spans="1:14" x14ac:dyDescent="0.3">
      <c r="A1010" t="s">
        <v>1713</v>
      </c>
      <c r="B1010" s="1">
        <v>45172</v>
      </c>
      <c r="C1010" t="s">
        <v>665</v>
      </c>
      <c r="D1010" t="s">
        <v>85</v>
      </c>
      <c r="E1010" t="s">
        <v>17</v>
      </c>
      <c r="F1010" t="s">
        <v>34</v>
      </c>
      <c r="G1010" t="s">
        <v>35</v>
      </c>
      <c r="H1010" t="s">
        <v>36</v>
      </c>
      <c r="I1010" t="s">
        <v>43</v>
      </c>
      <c r="J1010" t="s">
        <v>58</v>
      </c>
      <c r="K1010" s="2">
        <v>49808.49</v>
      </c>
      <c r="L1010" s="4">
        <v>6</v>
      </c>
      <c r="M1010" s="3">
        <v>0.24</v>
      </c>
      <c r="N1010" s="2">
        <v>-996.17</v>
      </c>
    </row>
    <row r="1011" spans="1:14" x14ac:dyDescent="0.3">
      <c r="A1011" t="s">
        <v>2039</v>
      </c>
      <c r="B1011" s="1">
        <v>45172</v>
      </c>
      <c r="C1011" t="s">
        <v>1432</v>
      </c>
      <c r="D1011" t="s">
        <v>50</v>
      </c>
      <c r="E1011" t="s">
        <v>26</v>
      </c>
      <c r="F1011" t="s">
        <v>79</v>
      </c>
      <c r="G1011" t="s">
        <v>80</v>
      </c>
      <c r="H1011" t="s">
        <v>47</v>
      </c>
      <c r="I1011" t="s">
        <v>43</v>
      </c>
      <c r="J1011" t="s">
        <v>64</v>
      </c>
      <c r="K1011" s="2">
        <v>14458.35</v>
      </c>
      <c r="L1011" s="4">
        <v>6</v>
      </c>
      <c r="M1011" s="3">
        <v>0.03</v>
      </c>
      <c r="N1011" s="2">
        <v>1228.96</v>
      </c>
    </row>
    <row r="1012" spans="1:14" x14ac:dyDescent="0.3">
      <c r="A1012" t="s">
        <v>946</v>
      </c>
      <c r="B1012" s="1">
        <v>45172</v>
      </c>
      <c r="C1012" t="s">
        <v>404</v>
      </c>
      <c r="D1012" t="s">
        <v>85</v>
      </c>
      <c r="E1012" t="s">
        <v>51</v>
      </c>
      <c r="F1012" t="s">
        <v>34</v>
      </c>
      <c r="G1012" t="s">
        <v>35</v>
      </c>
      <c r="H1012" t="s">
        <v>36</v>
      </c>
      <c r="I1012" t="s">
        <v>43</v>
      </c>
      <c r="J1012" t="s">
        <v>54</v>
      </c>
      <c r="K1012" s="2">
        <v>35405.26</v>
      </c>
      <c r="L1012" s="4">
        <v>9</v>
      </c>
      <c r="M1012" s="3">
        <v>0.24</v>
      </c>
      <c r="N1012" s="2">
        <v>-708.11</v>
      </c>
    </row>
    <row r="1013" spans="1:14" x14ac:dyDescent="0.3">
      <c r="A1013" t="s">
        <v>651</v>
      </c>
      <c r="B1013" s="1">
        <v>45172</v>
      </c>
      <c r="C1013" t="s">
        <v>45</v>
      </c>
      <c r="D1013" t="s">
        <v>85</v>
      </c>
      <c r="E1013" t="s">
        <v>17</v>
      </c>
      <c r="F1013" t="s">
        <v>34</v>
      </c>
      <c r="G1013" t="s">
        <v>35</v>
      </c>
      <c r="H1013" t="s">
        <v>36</v>
      </c>
      <c r="I1013" t="s">
        <v>29</v>
      </c>
      <c r="J1013" t="s">
        <v>106</v>
      </c>
      <c r="K1013" s="2">
        <v>29366.73</v>
      </c>
      <c r="L1013" s="4">
        <v>2</v>
      </c>
      <c r="M1013" s="3">
        <v>0.03</v>
      </c>
      <c r="N1013" s="2">
        <v>2496.17</v>
      </c>
    </row>
    <row r="1014" spans="1:14" x14ac:dyDescent="0.3">
      <c r="A1014" t="s">
        <v>426</v>
      </c>
      <c r="B1014" s="1">
        <v>45172</v>
      </c>
      <c r="C1014" t="s">
        <v>427</v>
      </c>
      <c r="D1014" t="s">
        <v>50</v>
      </c>
      <c r="E1014" t="s">
        <v>26</v>
      </c>
      <c r="F1014" t="s">
        <v>34</v>
      </c>
      <c r="G1014" t="s">
        <v>35</v>
      </c>
      <c r="H1014" t="s">
        <v>36</v>
      </c>
      <c r="I1014" t="s">
        <v>29</v>
      </c>
      <c r="J1014" t="s">
        <v>30</v>
      </c>
      <c r="K1014" s="2">
        <v>46659.59</v>
      </c>
      <c r="L1014" s="4">
        <v>6</v>
      </c>
      <c r="M1014" s="3">
        <v>0.1</v>
      </c>
      <c r="N1014" s="2">
        <v>2332.98</v>
      </c>
    </row>
    <row r="1015" spans="1:14" x14ac:dyDescent="0.3">
      <c r="A1015" t="s">
        <v>1419</v>
      </c>
      <c r="B1015" s="1">
        <v>45173</v>
      </c>
      <c r="C1015" t="s">
        <v>1420</v>
      </c>
      <c r="D1015" t="s">
        <v>25</v>
      </c>
      <c r="E1015" t="s">
        <v>26</v>
      </c>
      <c r="F1015" t="s">
        <v>46</v>
      </c>
      <c r="G1015" t="s">
        <v>46</v>
      </c>
      <c r="H1015" t="s">
        <v>47</v>
      </c>
      <c r="I1015" t="s">
        <v>43</v>
      </c>
      <c r="J1015" t="s">
        <v>22</v>
      </c>
      <c r="K1015" s="2">
        <v>45572.95</v>
      </c>
      <c r="L1015" s="4">
        <v>3</v>
      </c>
      <c r="M1015" s="3">
        <v>0.11</v>
      </c>
      <c r="N1015" s="2">
        <v>2050.7800000000002</v>
      </c>
    </row>
    <row r="1016" spans="1:14" x14ac:dyDescent="0.3">
      <c r="A1016" t="s">
        <v>2086</v>
      </c>
      <c r="B1016" s="1">
        <v>45173</v>
      </c>
      <c r="C1016" t="s">
        <v>771</v>
      </c>
      <c r="D1016" t="s">
        <v>57</v>
      </c>
      <c r="E1016" t="s">
        <v>51</v>
      </c>
      <c r="F1016" t="s">
        <v>79</v>
      </c>
      <c r="G1016" t="s">
        <v>80</v>
      </c>
      <c r="H1016" t="s">
        <v>47</v>
      </c>
      <c r="I1016" t="s">
        <v>21</v>
      </c>
      <c r="J1016" t="s">
        <v>64</v>
      </c>
      <c r="K1016" s="2">
        <v>32660.65</v>
      </c>
      <c r="L1016" s="4">
        <v>2</v>
      </c>
      <c r="M1016" s="3">
        <v>0.14000000000000001</v>
      </c>
      <c r="N1016" s="2">
        <v>979.82</v>
      </c>
    </row>
    <row r="1017" spans="1:14" x14ac:dyDescent="0.3">
      <c r="A1017" t="s">
        <v>2186</v>
      </c>
      <c r="B1017" s="1">
        <v>45173</v>
      </c>
      <c r="C1017" t="s">
        <v>2167</v>
      </c>
      <c r="D1017" t="s">
        <v>50</v>
      </c>
      <c r="E1017" t="s">
        <v>26</v>
      </c>
      <c r="F1017" t="s">
        <v>34</v>
      </c>
      <c r="G1017" t="s">
        <v>35</v>
      </c>
      <c r="H1017" t="s">
        <v>36</v>
      </c>
      <c r="I1017" t="s">
        <v>21</v>
      </c>
      <c r="J1017" t="s">
        <v>58</v>
      </c>
      <c r="K1017" s="2">
        <v>47902.69</v>
      </c>
      <c r="L1017" s="4">
        <v>5</v>
      </c>
      <c r="M1017" s="3">
        <v>0.22</v>
      </c>
      <c r="N1017" s="2">
        <v>-479.03</v>
      </c>
    </row>
    <row r="1018" spans="1:14" x14ac:dyDescent="0.3">
      <c r="A1018" t="s">
        <v>2246</v>
      </c>
      <c r="B1018" s="1">
        <v>45173</v>
      </c>
      <c r="C1018" t="s">
        <v>1530</v>
      </c>
      <c r="D1018" t="s">
        <v>61</v>
      </c>
      <c r="E1018" t="s">
        <v>51</v>
      </c>
      <c r="F1018" t="s">
        <v>40</v>
      </c>
      <c r="G1018" t="s">
        <v>41</v>
      </c>
      <c r="H1018" t="s">
        <v>42</v>
      </c>
      <c r="I1018" t="s">
        <v>21</v>
      </c>
      <c r="J1018" t="s">
        <v>54</v>
      </c>
      <c r="K1018" s="2">
        <v>8417.44</v>
      </c>
      <c r="L1018" s="4">
        <v>4</v>
      </c>
      <c r="M1018" s="3">
        <v>0.05</v>
      </c>
      <c r="N1018" s="2">
        <v>631.30999999999995</v>
      </c>
    </row>
    <row r="1019" spans="1:14" x14ac:dyDescent="0.3">
      <c r="A1019" t="s">
        <v>1850</v>
      </c>
      <c r="B1019" s="1">
        <v>45174</v>
      </c>
      <c r="C1019" t="s">
        <v>242</v>
      </c>
      <c r="D1019" t="s">
        <v>61</v>
      </c>
      <c r="E1019" t="s">
        <v>51</v>
      </c>
      <c r="F1019" t="s">
        <v>46</v>
      </c>
      <c r="G1019" t="s">
        <v>46</v>
      </c>
      <c r="H1019" t="s">
        <v>47</v>
      </c>
      <c r="I1019" t="s">
        <v>43</v>
      </c>
      <c r="J1019" t="s">
        <v>22</v>
      </c>
      <c r="K1019" s="2">
        <v>35111.43</v>
      </c>
      <c r="L1019" s="4">
        <v>4</v>
      </c>
      <c r="M1019" s="3">
        <v>0.18</v>
      </c>
      <c r="N1019" s="2">
        <v>351.11</v>
      </c>
    </row>
    <row r="1020" spans="1:14" x14ac:dyDescent="0.3">
      <c r="A1020" t="s">
        <v>2217</v>
      </c>
      <c r="B1020" s="1">
        <v>45174</v>
      </c>
      <c r="C1020" t="s">
        <v>162</v>
      </c>
      <c r="D1020" t="s">
        <v>33</v>
      </c>
      <c r="E1020" t="s">
        <v>17</v>
      </c>
      <c r="F1020" t="s">
        <v>79</v>
      </c>
      <c r="G1020" t="s">
        <v>80</v>
      </c>
      <c r="H1020" t="s">
        <v>47</v>
      </c>
      <c r="I1020" t="s">
        <v>21</v>
      </c>
      <c r="J1020" t="s">
        <v>58</v>
      </c>
      <c r="K1020" s="2">
        <v>20415.73</v>
      </c>
      <c r="L1020" s="4">
        <v>5</v>
      </c>
      <c r="M1020" s="3">
        <v>0.17</v>
      </c>
      <c r="N1020" s="2">
        <v>306.24</v>
      </c>
    </row>
    <row r="1021" spans="1:14" x14ac:dyDescent="0.3">
      <c r="A1021" t="s">
        <v>1921</v>
      </c>
      <c r="B1021" s="1">
        <v>45174</v>
      </c>
      <c r="C1021" t="s">
        <v>178</v>
      </c>
      <c r="D1021" t="s">
        <v>61</v>
      </c>
      <c r="E1021" t="s">
        <v>51</v>
      </c>
      <c r="F1021" t="s">
        <v>18</v>
      </c>
      <c r="G1021" t="s">
        <v>19</v>
      </c>
      <c r="H1021" t="s">
        <v>20</v>
      </c>
      <c r="I1021" t="s">
        <v>43</v>
      </c>
      <c r="J1021" t="s">
        <v>30</v>
      </c>
      <c r="K1021" s="2">
        <v>41942.42</v>
      </c>
      <c r="L1021" s="4">
        <v>7</v>
      </c>
      <c r="M1021" s="3">
        <v>0.13</v>
      </c>
      <c r="N1021" s="2">
        <v>1467.98</v>
      </c>
    </row>
    <row r="1022" spans="1:14" x14ac:dyDescent="0.3">
      <c r="A1022" t="s">
        <v>1687</v>
      </c>
      <c r="B1022" s="1">
        <v>45174</v>
      </c>
      <c r="C1022" t="s">
        <v>359</v>
      </c>
      <c r="D1022" t="s">
        <v>25</v>
      </c>
      <c r="E1022" t="s">
        <v>17</v>
      </c>
      <c r="F1022" t="s">
        <v>34</v>
      </c>
      <c r="G1022" t="s">
        <v>35</v>
      </c>
      <c r="H1022" t="s">
        <v>36</v>
      </c>
      <c r="I1022" t="s">
        <v>29</v>
      </c>
      <c r="J1022" t="s">
        <v>106</v>
      </c>
      <c r="K1022" s="2">
        <v>33719.5</v>
      </c>
      <c r="L1022" s="4">
        <v>8</v>
      </c>
      <c r="M1022" s="3">
        <v>0.25</v>
      </c>
      <c r="N1022" s="2">
        <v>-842.99</v>
      </c>
    </row>
    <row r="1023" spans="1:14" x14ac:dyDescent="0.3">
      <c r="A1023" t="s">
        <v>62</v>
      </c>
      <c r="B1023" s="1">
        <v>45175</v>
      </c>
      <c r="C1023" t="s">
        <v>63</v>
      </c>
      <c r="D1023" t="s">
        <v>33</v>
      </c>
      <c r="E1023" t="s">
        <v>26</v>
      </c>
      <c r="F1023" t="s">
        <v>27</v>
      </c>
      <c r="G1023" t="s">
        <v>28</v>
      </c>
      <c r="H1023" t="s">
        <v>20</v>
      </c>
      <c r="I1023" t="s">
        <v>43</v>
      </c>
      <c r="J1023" t="s">
        <v>64</v>
      </c>
      <c r="K1023" s="2">
        <v>35653.5</v>
      </c>
      <c r="L1023" s="4">
        <v>10</v>
      </c>
      <c r="M1023" s="3">
        <v>0.24</v>
      </c>
      <c r="N1023" s="2">
        <v>-713.07</v>
      </c>
    </row>
    <row r="1024" spans="1:14" x14ac:dyDescent="0.3">
      <c r="A1024" t="s">
        <v>850</v>
      </c>
      <c r="B1024" s="1">
        <v>45175</v>
      </c>
      <c r="C1024" t="s">
        <v>851</v>
      </c>
      <c r="D1024" t="s">
        <v>50</v>
      </c>
      <c r="E1024" t="s">
        <v>26</v>
      </c>
      <c r="F1024" t="s">
        <v>40</v>
      </c>
      <c r="G1024" t="s">
        <v>41</v>
      </c>
      <c r="H1024" t="s">
        <v>42</v>
      </c>
      <c r="I1024" t="s">
        <v>29</v>
      </c>
      <c r="J1024" t="s">
        <v>58</v>
      </c>
      <c r="K1024" s="2">
        <v>43733.81</v>
      </c>
      <c r="L1024" s="4">
        <v>10</v>
      </c>
      <c r="M1024" s="3">
        <v>0.04</v>
      </c>
      <c r="N1024" s="2">
        <v>3498.7</v>
      </c>
    </row>
    <row r="1025" spans="1:14" x14ac:dyDescent="0.3">
      <c r="A1025" t="s">
        <v>1144</v>
      </c>
      <c r="B1025" s="1">
        <v>45175</v>
      </c>
      <c r="C1025" t="s">
        <v>225</v>
      </c>
      <c r="D1025" t="s">
        <v>57</v>
      </c>
      <c r="E1025" t="s">
        <v>17</v>
      </c>
      <c r="F1025" t="s">
        <v>79</v>
      </c>
      <c r="G1025" t="s">
        <v>80</v>
      </c>
      <c r="H1025" t="s">
        <v>47</v>
      </c>
      <c r="I1025" t="s">
        <v>29</v>
      </c>
      <c r="J1025" t="s">
        <v>37</v>
      </c>
      <c r="K1025" s="2">
        <v>17029.28</v>
      </c>
      <c r="L1025" s="4">
        <v>2</v>
      </c>
      <c r="M1025" s="3">
        <v>0.21</v>
      </c>
      <c r="N1025" s="2">
        <v>-85.15</v>
      </c>
    </row>
    <row r="1026" spans="1:14" x14ac:dyDescent="0.3">
      <c r="A1026" t="s">
        <v>1502</v>
      </c>
      <c r="B1026" s="1">
        <v>45175</v>
      </c>
      <c r="C1026" t="s">
        <v>49</v>
      </c>
      <c r="D1026" t="s">
        <v>57</v>
      </c>
      <c r="E1026" t="s">
        <v>17</v>
      </c>
      <c r="F1026" t="s">
        <v>79</v>
      </c>
      <c r="G1026" t="s">
        <v>80</v>
      </c>
      <c r="H1026" t="s">
        <v>47</v>
      </c>
      <c r="I1026" t="s">
        <v>29</v>
      </c>
      <c r="J1026" t="s">
        <v>37</v>
      </c>
      <c r="K1026" s="2">
        <v>27219.31</v>
      </c>
      <c r="L1026" s="4">
        <v>9</v>
      </c>
      <c r="M1026" s="3">
        <v>7.0000000000000007E-2</v>
      </c>
      <c r="N1026" s="2">
        <v>1769.26</v>
      </c>
    </row>
    <row r="1027" spans="1:14" x14ac:dyDescent="0.3">
      <c r="A1027" t="s">
        <v>2059</v>
      </c>
      <c r="B1027" s="1">
        <v>45175</v>
      </c>
      <c r="C1027" t="s">
        <v>2060</v>
      </c>
      <c r="D1027" t="s">
        <v>57</v>
      </c>
      <c r="E1027" t="s">
        <v>26</v>
      </c>
      <c r="F1027" t="s">
        <v>79</v>
      </c>
      <c r="G1027" t="s">
        <v>80</v>
      </c>
      <c r="H1027" t="s">
        <v>47</v>
      </c>
      <c r="I1027" t="s">
        <v>29</v>
      </c>
      <c r="J1027" t="s">
        <v>106</v>
      </c>
      <c r="K1027" s="2">
        <v>13063.19</v>
      </c>
      <c r="L1027" s="4">
        <v>1</v>
      </c>
      <c r="M1027" s="3">
        <v>0.28000000000000003</v>
      </c>
      <c r="N1027" s="2">
        <v>-522.53</v>
      </c>
    </row>
    <row r="1028" spans="1:14" x14ac:dyDescent="0.3">
      <c r="A1028" t="s">
        <v>1563</v>
      </c>
      <c r="B1028" s="1">
        <v>45175</v>
      </c>
      <c r="C1028" t="s">
        <v>1285</v>
      </c>
      <c r="D1028" t="s">
        <v>61</v>
      </c>
      <c r="E1028" t="s">
        <v>26</v>
      </c>
      <c r="F1028" t="s">
        <v>40</v>
      </c>
      <c r="G1028" t="s">
        <v>41</v>
      </c>
      <c r="H1028" t="s">
        <v>42</v>
      </c>
      <c r="I1028" t="s">
        <v>43</v>
      </c>
      <c r="J1028" t="s">
        <v>37</v>
      </c>
      <c r="K1028" s="2">
        <v>3386.19</v>
      </c>
      <c r="L1028" s="4">
        <v>10</v>
      </c>
      <c r="M1028" s="3">
        <v>0.03</v>
      </c>
      <c r="N1028" s="2">
        <v>287.83</v>
      </c>
    </row>
    <row r="1029" spans="1:14" x14ac:dyDescent="0.3">
      <c r="A1029" t="s">
        <v>490</v>
      </c>
      <c r="B1029" s="1">
        <v>45175</v>
      </c>
      <c r="C1029" t="s">
        <v>491</v>
      </c>
      <c r="D1029" t="s">
        <v>16</v>
      </c>
      <c r="E1029" t="s">
        <v>51</v>
      </c>
      <c r="F1029" t="s">
        <v>46</v>
      </c>
      <c r="G1029" t="s">
        <v>46</v>
      </c>
      <c r="H1029" t="s">
        <v>47</v>
      </c>
      <c r="I1029" t="s">
        <v>43</v>
      </c>
      <c r="J1029" t="s">
        <v>30</v>
      </c>
      <c r="K1029" s="2">
        <v>6639.16</v>
      </c>
      <c r="L1029" s="4">
        <v>7</v>
      </c>
      <c r="M1029" s="3">
        <v>0.13</v>
      </c>
      <c r="N1029" s="2">
        <v>232.37</v>
      </c>
    </row>
    <row r="1030" spans="1:14" x14ac:dyDescent="0.3">
      <c r="A1030" t="s">
        <v>852</v>
      </c>
      <c r="B1030" s="1">
        <v>45175</v>
      </c>
      <c r="C1030" t="s">
        <v>853</v>
      </c>
      <c r="D1030" t="s">
        <v>16</v>
      </c>
      <c r="E1030" t="s">
        <v>51</v>
      </c>
      <c r="F1030" t="s">
        <v>18</v>
      </c>
      <c r="G1030" t="s">
        <v>19</v>
      </c>
      <c r="H1030" t="s">
        <v>20</v>
      </c>
      <c r="I1030" t="s">
        <v>29</v>
      </c>
      <c r="J1030" t="s">
        <v>64</v>
      </c>
      <c r="K1030" s="2">
        <v>6525.61</v>
      </c>
      <c r="L1030" s="4">
        <v>8</v>
      </c>
      <c r="M1030" s="3">
        <v>7.0000000000000007E-2</v>
      </c>
      <c r="N1030" s="2">
        <v>424.16</v>
      </c>
    </row>
    <row r="1031" spans="1:14" x14ac:dyDescent="0.3">
      <c r="A1031" t="s">
        <v>1863</v>
      </c>
      <c r="B1031" s="1">
        <v>45176</v>
      </c>
      <c r="C1031" t="s">
        <v>769</v>
      </c>
      <c r="D1031" t="s">
        <v>85</v>
      </c>
      <c r="E1031" t="s">
        <v>51</v>
      </c>
      <c r="F1031" t="s">
        <v>79</v>
      </c>
      <c r="G1031" t="s">
        <v>80</v>
      </c>
      <c r="H1031" t="s">
        <v>47</v>
      </c>
      <c r="I1031" t="s">
        <v>43</v>
      </c>
      <c r="J1031" t="s">
        <v>30</v>
      </c>
      <c r="K1031" s="2">
        <v>22860.38</v>
      </c>
      <c r="L1031" s="4">
        <v>10</v>
      </c>
      <c r="M1031" s="3">
        <v>0.23</v>
      </c>
      <c r="N1031" s="2">
        <v>-342.91</v>
      </c>
    </row>
    <row r="1032" spans="1:14" x14ac:dyDescent="0.3">
      <c r="A1032" t="s">
        <v>1057</v>
      </c>
      <c r="B1032" s="1">
        <v>45176</v>
      </c>
      <c r="C1032" t="s">
        <v>1058</v>
      </c>
      <c r="D1032" t="s">
        <v>85</v>
      </c>
      <c r="E1032" t="s">
        <v>26</v>
      </c>
      <c r="F1032" t="s">
        <v>18</v>
      </c>
      <c r="G1032" t="s">
        <v>19</v>
      </c>
      <c r="H1032" t="s">
        <v>20</v>
      </c>
      <c r="I1032" t="s">
        <v>43</v>
      </c>
      <c r="J1032" t="s">
        <v>30</v>
      </c>
      <c r="K1032" s="2">
        <v>24475.48</v>
      </c>
      <c r="L1032" s="4">
        <v>2</v>
      </c>
      <c r="M1032" s="3">
        <v>0.12</v>
      </c>
      <c r="N1032" s="2">
        <v>979.02</v>
      </c>
    </row>
    <row r="1033" spans="1:14" x14ac:dyDescent="0.3">
      <c r="A1033" t="s">
        <v>566</v>
      </c>
      <c r="B1033" s="1">
        <v>45177</v>
      </c>
      <c r="C1033" t="s">
        <v>567</v>
      </c>
      <c r="D1033" t="s">
        <v>57</v>
      </c>
      <c r="E1033" t="s">
        <v>51</v>
      </c>
      <c r="F1033" t="s">
        <v>40</v>
      </c>
      <c r="G1033" t="s">
        <v>41</v>
      </c>
      <c r="H1033" t="s">
        <v>42</v>
      </c>
      <c r="I1033" t="s">
        <v>21</v>
      </c>
      <c r="J1033" t="s">
        <v>37</v>
      </c>
      <c r="K1033" s="2">
        <v>22060.560000000001</v>
      </c>
      <c r="L1033" s="4">
        <v>3</v>
      </c>
      <c r="M1033" s="3">
        <v>0.14000000000000001</v>
      </c>
      <c r="N1033" s="2">
        <v>661.82</v>
      </c>
    </row>
    <row r="1034" spans="1:14" x14ac:dyDescent="0.3">
      <c r="A1034" t="s">
        <v>2175</v>
      </c>
      <c r="B1034" s="1">
        <v>45177</v>
      </c>
      <c r="C1034" t="s">
        <v>2176</v>
      </c>
      <c r="D1034" t="s">
        <v>50</v>
      </c>
      <c r="E1034" t="s">
        <v>17</v>
      </c>
      <c r="F1034" t="s">
        <v>18</v>
      </c>
      <c r="G1034" t="s">
        <v>19</v>
      </c>
      <c r="H1034" t="s">
        <v>20</v>
      </c>
      <c r="I1034" t="s">
        <v>21</v>
      </c>
      <c r="J1034" t="s">
        <v>54</v>
      </c>
      <c r="K1034" s="2">
        <v>16858.46</v>
      </c>
      <c r="L1034" s="4">
        <v>7</v>
      </c>
      <c r="M1034" s="3">
        <v>0.24</v>
      </c>
      <c r="N1034" s="2">
        <v>-337.17</v>
      </c>
    </row>
    <row r="1035" spans="1:14" x14ac:dyDescent="0.3">
      <c r="A1035" t="s">
        <v>557</v>
      </c>
      <c r="B1035" s="1">
        <v>45177</v>
      </c>
      <c r="C1035" t="s">
        <v>399</v>
      </c>
      <c r="D1035" t="s">
        <v>33</v>
      </c>
      <c r="E1035" t="s">
        <v>26</v>
      </c>
      <c r="F1035" t="s">
        <v>79</v>
      </c>
      <c r="G1035" t="s">
        <v>80</v>
      </c>
      <c r="H1035" t="s">
        <v>47</v>
      </c>
      <c r="I1035" t="s">
        <v>29</v>
      </c>
      <c r="J1035" t="s">
        <v>58</v>
      </c>
      <c r="K1035" s="2">
        <v>17652.080000000002</v>
      </c>
      <c r="L1035" s="4">
        <v>6</v>
      </c>
      <c r="M1035" s="3">
        <v>0.12</v>
      </c>
      <c r="N1035" s="2">
        <v>706.08</v>
      </c>
    </row>
    <row r="1036" spans="1:14" x14ac:dyDescent="0.3">
      <c r="A1036" t="s">
        <v>824</v>
      </c>
      <c r="B1036" s="1">
        <v>45178</v>
      </c>
      <c r="C1036" t="s">
        <v>469</v>
      </c>
      <c r="D1036" t="s">
        <v>16</v>
      </c>
      <c r="E1036" t="s">
        <v>26</v>
      </c>
      <c r="F1036" t="s">
        <v>34</v>
      </c>
      <c r="G1036" t="s">
        <v>35</v>
      </c>
      <c r="H1036" t="s">
        <v>36</v>
      </c>
      <c r="I1036" t="s">
        <v>29</v>
      </c>
      <c r="J1036" t="s">
        <v>64</v>
      </c>
      <c r="K1036" s="2">
        <v>30701.53</v>
      </c>
      <c r="L1036" s="4">
        <v>3</v>
      </c>
      <c r="M1036" s="3">
        <v>0.12</v>
      </c>
      <c r="N1036" s="2">
        <v>1228.06</v>
      </c>
    </row>
    <row r="1037" spans="1:14" x14ac:dyDescent="0.3">
      <c r="A1037" t="s">
        <v>1129</v>
      </c>
      <c r="B1037" s="1">
        <v>45178</v>
      </c>
      <c r="C1037" t="s">
        <v>1130</v>
      </c>
      <c r="D1037" t="s">
        <v>50</v>
      </c>
      <c r="E1037" t="s">
        <v>17</v>
      </c>
      <c r="F1037" t="s">
        <v>40</v>
      </c>
      <c r="G1037" t="s">
        <v>41</v>
      </c>
      <c r="H1037" t="s">
        <v>42</v>
      </c>
      <c r="I1037" t="s">
        <v>43</v>
      </c>
      <c r="J1037" t="s">
        <v>58</v>
      </c>
      <c r="K1037" s="2">
        <v>11620.47</v>
      </c>
      <c r="L1037" s="4">
        <v>2</v>
      </c>
      <c r="M1037" s="3">
        <v>0.1</v>
      </c>
      <c r="N1037" s="2">
        <v>581.02</v>
      </c>
    </row>
    <row r="1038" spans="1:14" x14ac:dyDescent="0.3">
      <c r="A1038" t="s">
        <v>1827</v>
      </c>
      <c r="B1038" s="1">
        <v>45178</v>
      </c>
      <c r="C1038" t="s">
        <v>1828</v>
      </c>
      <c r="D1038" t="s">
        <v>25</v>
      </c>
      <c r="E1038" t="s">
        <v>26</v>
      </c>
      <c r="F1038" t="s">
        <v>34</v>
      </c>
      <c r="G1038" t="s">
        <v>35</v>
      </c>
      <c r="H1038" t="s">
        <v>36</v>
      </c>
      <c r="I1038" t="s">
        <v>43</v>
      </c>
      <c r="J1038" t="s">
        <v>54</v>
      </c>
      <c r="K1038" s="2">
        <v>48380.95</v>
      </c>
      <c r="L1038" s="4">
        <v>1</v>
      </c>
      <c r="M1038" s="3">
        <v>0.01</v>
      </c>
      <c r="N1038" s="2">
        <v>4596.1899999999996</v>
      </c>
    </row>
    <row r="1039" spans="1:14" x14ac:dyDescent="0.3">
      <c r="A1039" t="s">
        <v>2023</v>
      </c>
      <c r="B1039" s="1">
        <v>45178</v>
      </c>
      <c r="C1039" t="s">
        <v>2024</v>
      </c>
      <c r="D1039" t="s">
        <v>50</v>
      </c>
      <c r="E1039" t="s">
        <v>51</v>
      </c>
      <c r="F1039" t="s">
        <v>34</v>
      </c>
      <c r="G1039" t="s">
        <v>35</v>
      </c>
      <c r="H1039" t="s">
        <v>36</v>
      </c>
      <c r="I1039" t="s">
        <v>29</v>
      </c>
      <c r="J1039" t="s">
        <v>64</v>
      </c>
      <c r="K1039" s="2">
        <v>23693.040000000001</v>
      </c>
      <c r="L1039" s="4">
        <v>1</v>
      </c>
      <c r="M1039" s="3">
        <v>0.1</v>
      </c>
      <c r="N1039" s="2">
        <v>1184.6500000000001</v>
      </c>
    </row>
    <row r="1040" spans="1:14" x14ac:dyDescent="0.3">
      <c r="A1040" t="s">
        <v>2174</v>
      </c>
      <c r="B1040" s="1">
        <v>45178</v>
      </c>
      <c r="C1040" t="s">
        <v>697</v>
      </c>
      <c r="D1040" t="s">
        <v>25</v>
      </c>
      <c r="E1040" t="s">
        <v>51</v>
      </c>
      <c r="F1040" t="s">
        <v>27</v>
      </c>
      <c r="G1040" t="s">
        <v>28</v>
      </c>
      <c r="H1040" t="s">
        <v>20</v>
      </c>
      <c r="I1040" t="s">
        <v>43</v>
      </c>
      <c r="J1040" t="s">
        <v>30</v>
      </c>
      <c r="K1040" s="2">
        <v>15629.72</v>
      </c>
      <c r="L1040" s="4">
        <v>7</v>
      </c>
      <c r="M1040" s="3">
        <v>0.19</v>
      </c>
      <c r="N1040" s="2">
        <v>78.150000000000006</v>
      </c>
    </row>
    <row r="1041" spans="1:14" x14ac:dyDescent="0.3">
      <c r="A1041" t="s">
        <v>2242</v>
      </c>
      <c r="B1041" s="1">
        <v>45178</v>
      </c>
      <c r="C1041" t="s">
        <v>1278</v>
      </c>
      <c r="D1041" t="s">
        <v>25</v>
      </c>
      <c r="E1041" t="s">
        <v>26</v>
      </c>
      <c r="F1041" t="s">
        <v>46</v>
      </c>
      <c r="G1041" t="s">
        <v>46</v>
      </c>
      <c r="H1041" t="s">
        <v>47</v>
      </c>
      <c r="I1041" t="s">
        <v>21</v>
      </c>
      <c r="J1041" t="s">
        <v>64</v>
      </c>
      <c r="K1041" s="2">
        <v>31655.38</v>
      </c>
      <c r="L1041" s="4">
        <v>2</v>
      </c>
      <c r="M1041" s="3">
        <v>0.18</v>
      </c>
      <c r="N1041" s="2">
        <v>316.55</v>
      </c>
    </row>
    <row r="1042" spans="1:14" x14ac:dyDescent="0.3">
      <c r="A1042" t="s">
        <v>1402</v>
      </c>
      <c r="B1042" s="1">
        <v>45178</v>
      </c>
      <c r="C1042" t="s">
        <v>567</v>
      </c>
      <c r="D1042" t="s">
        <v>61</v>
      </c>
      <c r="E1042" t="s">
        <v>26</v>
      </c>
      <c r="F1042" t="s">
        <v>27</v>
      </c>
      <c r="G1042" t="s">
        <v>28</v>
      </c>
      <c r="H1042" t="s">
        <v>20</v>
      </c>
      <c r="I1042" t="s">
        <v>43</v>
      </c>
      <c r="J1042" t="s">
        <v>54</v>
      </c>
      <c r="K1042" s="2">
        <v>39697.67</v>
      </c>
      <c r="L1042" s="4">
        <v>6</v>
      </c>
      <c r="M1042" s="3">
        <v>0.28000000000000003</v>
      </c>
      <c r="N1042" s="2">
        <v>-1587.91</v>
      </c>
    </row>
    <row r="1043" spans="1:14" x14ac:dyDescent="0.3">
      <c r="A1043" t="s">
        <v>577</v>
      </c>
      <c r="B1043" s="1">
        <v>45179</v>
      </c>
      <c r="C1043" t="s">
        <v>578</v>
      </c>
      <c r="D1043" t="s">
        <v>33</v>
      </c>
      <c r="E1043" t="s">
        <v>17</v>
      </c>
      <c r="F1043" t="s">
        <v>40</v>
      </c>
      <c r="G1043" t="s">
        <v>41</v>
      </c>
      <c r="H1043" t="s">
        <v>42</v>
      </c>
      <c r="I1043" t="s">
        <v>43</v>
      </c>
      <c r="J1043" t="s">
        <v>64</v>
      </c>
      <c r="K1043" s="2">
        <v>3713.31</v>
      </c>
      <c r="L1043" s="4">
        <v>7</v>
      </c>
      <c r="M1043" s="3">
        <v>0.15</v>
      </c>
      <c r="N1043" s="2">
        <v>92.83</v>
      </c>
    </row>
    <row r="1044" spans="1:14" x14ac:dyDescent="0.3">
      <c r="A1044" t="s">
        <v>2112</v>
      </c>
      <c r="B1044" s="1">
        <v>45179</v>
      </c>
      <c r="C1044" t="s">
        <v>1004</v>
      </c>
      <c r="D1044" t="s">
        <v>61</v>
      </c>
      <c r="E1044" t="s">
        <v>26</v>
      </c>
      <c r="F1044" t="s">
        <v>46</v>
      </c>
      <c r="G1044" t="s">
        <v>46</v>
      </c>
      <c r="H1044" t="s">
        <v>47</v>
      </c>
      <c r="I1044" t="s">
        <v>21</v>
      </c>
      <c r="J1044" t="s">
        <v>22</v>
      </c>
      <c r="K1044" s="2">
        <v>14848.45</v>
      </c>
      <c r="L1044" s="4">
        <v>1</v>
      </c>
      <c r="M1044" s="3">
        <v>0.28000000000000003</v>
      </c>
      <c r="N1044" s="2">
        <v>-593.94000000000005</v>
      </c>
    </row>
    <row r="1045" spans="1:14" x14ac:dyDescent="0.3">
      <c r="A1045" t="s">
        <v>1659</v>
      </c>
      <c r="B1045" s="1">
        <v>45179</v>
      </c>
      <c r="C1045" t="s">
        <v>1660</v>
      </c>
      <c r="D1045" t="s">
        <v>16</v>
      </c>
      <c r="E1045" t="s">
        <v>17</v>
      </c>
      <c r="F1045" t="s">
        <v>79</v>
      </c>
      <c r="G1045" t="s">
        <v>80</v>
      </c>
      <c r="H1045" t="s">
        <v>47</v>
      </c>
      <c r="I1045" t="s">
        <v>21</v>
      </c>
      <c r="J1045" t="s">
        <v>30</v>
      </c>
      <c r="K1045" s="2">
        <v>42683.02</v>
      </c>
      <c r="L1045" s="4">
        <v>10</v>
      </c>
      <c r="M1045" s="3">
        <v>0.01</v>
      </c>
      <c r="N1045" s="2">
        <v>4054.89</v>
      </c>
    </row>
    <row r="1046" spans="1:14" x14ac:dyDescent="0.3">
      <c r="A1046" t="s">
        <v>1145</v>
      </c>
      <c r="B1046" s="1">
        <v>45179</v>
      </c>
      <c r="C1046" t="s">
        <v>122</v>
      </c>
      <c r="D1046" t="s">
        <v>85</v>
      </c>
      <c r="E1046" t="s">
        <v>17</v>
      </c>
      <c r="F1046" t="s">
        <v>27</v>
      </c>
      <c r="G1046" t="s">
        <v>28</v>
      </c>
      <c r="H1046" t="s">
        <v>20</v>
      </c>
      <c r="I1046" t="s">
        <v>21</v>
      </c>
      <c r="J1046" t="s">
        <v>54</v>
      </c>
      <c r="K1046" s="2">
        <v>2114.7600000000002</v>
      </c>
      <c r="L1046" s="4">
        <v>2</v>
      </c>
      <c r="M1046" s="3">
        <v>0.3</v>
      </c>
      <c r="N1046" s="2">
        <v>-105.74</v>
      </c>
    </row>
    <row r="1047" spans="1:14" x14ac:dyDescent="0.3">
      <c r="A1047" t="s">
        <v>341</v>
      </c>
      <c r="B1047" s="1">
        <v>45180</v>
      </c>
      <c r="C1047" t="s">
        <v>342</v>
      </c>
      <c r="D1047" t="s">
        <v>16</v>
      </c>
      <c r="E1047" t="s">
        <v>17</v>
      </c>
      <c r="F1047" t="s">
        <v>27</v>
      </c>
      <c r="G1047" t="s">
        <v>28</v>
      </c>
      <c r="H1047" t="s">
        <v>20</v>
      </c>
      <c r="I1047" t="s">
        <v>43</v>
      </c>
      <c r="J1047" t="s">
        <v>54</v>
      </c>
      <c r="K1047" s="2">
        <v>646.48</v>
      </c>
      <c r="L1047" s="4">
        <v>5</v>
      </c>
      <c r="M1047" s="3">
        <v>0.04</v>
      </c>
      <c r="N1047" s="2">
        <v>51.72</v>
      </c>
    </row>
    <row r="1048" spans="1:14" x14ac:dyDescent="0.3">
      <c r="A1048" t="s">
        <v>447</v>
      </c>
      <c r="B1048" s="1">
        <v>45180</v>
      </c>
      <c r="C1048" t="s">
        <v>448</v>
      </c>
      <c r="D1048" t="s">
        <v>16</v>
      </c>
      <c r="E1048" t="s">
        <v>51</v>
      </c>
      <c r="F1048" t="s">
        <v>79</v>
      </c>
      <c r="G1048" t="s">
        <v>80</v>
      </c>
      <c r="H1048" t="s">
        <v>47</v>
      </c>
      <c r="I1048" t="s">
        <v>29</v>
      </c>
      <c r="J1048" t="s">
        <v>58</v>
      </c>
      <c r="K1048" s="2">
        <v>17658.72</v>
      </c>
      <c r="L1048" s="4">
        <v>9</v>
      </c>
      <c r="M1048" s="3">
        <v>0.21</v>
      </c>
      <c r="N1048" s="2">
        <v>-88.29</v>
      </c>
    </row>
    <row r="1049" spans="1:14" x14ac:dyDescent="0.3">
      <c r="A1049" t="s">
        <v>677</v>
      </c>
      <c r="B1049" s="1">
        <v>45180</v>
      </c>
      <c r="C1049" t="s">
        <v>678</v>
      </c>
      <c r="D1049" t="s">
        <v>33</v>
      </c>
      <c r="E1049" t="s">
        <v>51</v>
      </c>
      <c r="F1049" t="s">
        <v>27</v>
      </c>
      <c r="G1049" t="s">
        <v>28</v>
      </c>
      <c r="H1049" t="s">
        <v>20</v>
      </c>
      <c r="I1049" t="s">
        <v>29</v>
      </c>
      <c r="J1049" t="s">
        <v>58</v>
      </c>
      <c r="K1049" s="2">
        <v>42594.18</v>
      </c>
      <c r="L1049" s="4">
        <v>8</v>
      </c>
      <c r="M1049" s="3">
        <v>0.02</v>
      </c>
      <c r="N1049" s="2">
        <v>3833.48</v>
      </c>
    </row>
    <row r="1050" spans="1:14" x14ac:dyDescent="0.3">
      <c r="A1050" t="s">
        <v>1349</v>
      </c>
      <c r="B1050" s="1">
        <v>45180</v>
      </c>
      <c r="C1050" t="s">
        <v>1152</v>
      </c>
      <c r="D1050" t="s">
        <v>57</v>
      </c>
      <c r="E1050" t="s">
        <v>17</v>
      </c>
      <c r="F1050" t="s">
        <v>40</v>
      </c>
      <c r="G1050" t="s">
        <v>41</v>
      </c>
      <c r="H1050" t="s">
        <v>42</v>
      </c>
      <c r="I1050" t="s">
        <v>29</v>
      </c>
      <c r="J1050" t="s">
        <v>58</v>
      </c>
      <c r="K1050" s="2">
        <v>28783.29</v>
      </c>
      <c r="L1050" s="4">
        <v>5</v>
      </c>
      <c r="M1050" s="3">
        <v>0.06</v>
      </c>
      <c r="N1050" s="2">
        <v>2014.83</v>
      </c>
    </row>
    <row r="1051" spans="1:14" x14ac:dyDescent="0.3">
      <c r="A1051" t="s">
        <v>1758</v>
      </c>
      <c r="B1051" s="1">
        <v>45180</v>
      </c>
      <c r="C1051" t="s">
        <v>337</v>
      </c>
      <c r="D1051" t="s">
        <v>85</v>
      </c>
      <c r="E1051" t="s">
        <v>51</v>
      </c>
      <c r="F1051" t="s">
        <v>40</v>
      </c>
      <c r="G1051" t="s">
        <v>41</v>
      </c>
      <c r="H1051" t="s">
        <v>42</v>
      </c>
      <c r="I1051" t="s">
        <v>29</v>
      </c>
      <c r="J1051" t="s">
        <v>64</v>
      </c>
      <c r="K1051" s="2">
        <v>43365.47</v>
      </c>
      <c r="L1051" s="4">
        <v>8</v>
      </c>
      <c r="M1051" s="3">
        <v>0.04</v>
      </c>
      <c r="N1051" s="2">
        <v>3469.24</v>
      </c>
    </row>
    <row r="1052" spans="1:14" x14ac:dyDescent="0.3">
      <c r="A1052" t="s">
        <v>2040</v>
      </c>
      <c r="B1052" s="1">
        <v>45180</v>
      </c>
      <c r="C1052" t="s">
        <v>87</v>
      </c>
      <c r="D1052" t="s">
        <v>25</v>
      </c>
      <c r="E1052" t="s">
        <v>26</v>
      </c>
      <c r="F1052" t="s">
        <v>18</v>
      </c>
      <c r="G1052" t="s">
        <v>19</v>
      </c>
      <c r="H1052" t="s">
        <v>20</v>
      </c>
      <c r="I1052" t="s">
        <v>21</v>
      </c>
      <c r="J1052" t="s">
        <v>106</v>
      </c>
      <c r="K1052" s="2">
        <v>19729.16</v>
      </c>
      <c r="L1052" s="4">
        <v>4</v>
      </c>
      <c r="M1052" s="3">
        <v>0.09</v>
      </c>
      <c r="N1052" s="2">
        <v>1085.0999999999999</v>
      </c>
    </row>
    <row r="1053" spans="1:14" x14ac:dyDescent="0.3">
      <c r="A1053" t="s">
        <v>714</v>
      </c>
      <c r="B1053" s="1">
        <v>45181</v>
      </c>
      <c r="C1053" t="s">
        <v>484</v>
      </c>
      <c r="D1053" t="s">
        <v>85</v>
      </c>
      <c r="E1053" t="s">
        <v>17</v>
      </c>
      <c r="F1053" t="s">
        <v>27</v>
      </c>
      <c r="G1053" t="s">
        <v>28</v>
      </c>
      <c r="H1053" t="s">
        <v>20</v>
      </c>
      <c r="I1053" t="s">
        <v>43</v>
      </c>
      <c r="J1053" t="s">
        <v>54</v>
      </c>
      <c r="K1053" s="2">
        <v>24350.32</v>
      </c>
      <c r="L1053" s="4">
        <v>7</v>
      </c>
      <c r="M1053" s="3">
        <v>0.19</v>
      </c>
      <c r="N1053" s="2">
        <v>121.75</v>
      </c>
    </row>
    <row r="1054" spans="1:14" x14ac:dyDescent="0.3">
      <c r="A1054" t="s">
        <v>1233</v>
      </c>
      <c r="B1054" s="1">
        <v>45181</v>
      </c>
      <c r="C1054" t="s">
        <v>1234</v>
      </c>
      <c r="D1054" t="s">
        <v>33</v>
      </c>
      <c r="E1054" t="s">
        <v>17</v>
      </c>
      <c r="F1054" t="s">
        <v>79</v>
      </c>
      <c r="G1054" t="s">
        <v>80</v>
      </c>
      <c r="H1054" t="s">
        <v>47</v>
      </c>
      <c r="I1054" t="s">
        <v>21</v>
      </c>
      <c r="J1054" t="s">
        <v>58</v>
      </c>
      <c r="K1054" s="2">
        <v>15618.16</v>
      </c>
      <c r="L1054" s="4">
        <v>1</v>
      </c>
      <c r="M1054" s="3">
        <v>0.28000000000000003</v>
      </c>
      <c r="N1054" s="2">
        <v>-624.73</v>
      </c>
    </row>
    <row r="1055" spans="1:14" x14ac:dyDescent="0.3">
      <c r="A1055" t="s">
        <v>1571</v>
      </c>
      <c r="B1055" s="1">
        <v>45181</v>
      </c>
      <c r="C1055" t="s">
        <v>1290</v>
      </c>
      <c r="D1055" t="s">
        <v>25</v>
      </c>
      <c r="E1055" t="s">
        <v>26</v>
      </c>
      <c r="F1055" t="s">
        <v>18</v>
      </c>
      <c r="G1055" t="s">
        <v>19</v>
      </c>
      <c r="H1055" t="s">
        <v>20</v>
      </c>
      <c r="I1055" t="s">
        <v>43</v>
      </c>
      <c r="J1055" t="s">
        <v>106</v>
      </c>
      <c r="K1055" s="2">
        <v>34327.910000000003</v>
      </c>
      <c r="L1055" s="4">
        <v>8</v>
      </c>
      <c r="M1055" s="3">
        <v>7.0000000000000007E-2</v>
      </c>
      <c r="N1055" s="2">
        <v>2231.31</v>
      </c>
    </row>
    <row r="1056" spans="1:14" x14ac:dyDescent="0.3">
      <c r="A1056" t="s">
        <v>1586</v>
      </c>
      <c r="B1056" s="1">
        <v>45181</v>
      </c>
      <c r="C1056" t="s">
        <v>101</v>
      </c>
      <c r="D1056" t="s">
        <v>85</v>
      </c>
      <c r="E1056" t="s">
        <v>17</v>
      </c>
      <c r="F1056" t="s">
        <v>79</v>
      </c>
      <c r="G1056" t="s">
        <v>80</v>
      </c>
      <c r="H1056" t="s">
        <v>47</v>
      </c>
      <c r="I1056" t="s">
        <v>29</v>
      </c>
      <c r="J1056" t="s">
        <v>106</v>
      </c>
      <c r="K1056" s="2">
        <v>13774.44</v>
      </c>
      <c r="L1056" s="4">
        <v>7</v>
      </c>
      <c r="M1056" s="3">
        <v>0.04</v>
      </c>
      <c r="N1056" s="2">
        <v>1101.96</v>
      </c>
    </row>
    <row r="1057" spans="1:14" x14ac:dyDescent="0.3">
      <c r="A1057" t="s">
        <v>1962</v>
      </c>
      <c r="B1057" s="1">
        <v>45181</v>
      </c>
      <c r="C1057" t="s">
        <v>1963</v>
      </c>
      <c r="D1057" t="s">
        <v>85</v>
      </c>
      <c r="E1057" t="s">
        <v>26</v>
      </c>
      <c r="F1057" t="s">
        <v>27</v>
      </c>
      <c r="G1057" t="s">
        <v>28</v>
      </c>
      <c r="H1057" t="s">
        <v>20</v>
      </c>
      <c r="I1057" t="s">
        <v>29</v>
      </c>
      <c r="J1057" t="s">
        <v>22</v>
      </c>
      <c r="K1057" s="2">
        <v>13720.26</v>
      </c>
      <c r="L1057" s="4">
        <v>6</v>
      </c>
      <c r="M1057" s="3">
        <v>0.23</v>
      </c>
      <c r="N1057" s="2">
        <v>-205.8</v>
      </c>
    </row>
    <row r="1058" spans="1:14" x14ac:dyDescent="0.3">
      <c r="A1058" t="s">
        <v>328</v>
      </c>
      <c r="B1058" s="1">
        <v>45181</v>
      </c>
      <c r="C1058" t="s">
        <v>329</v>
      </c>
      <c r="D1058" t="s">
        <v>85</v>
      </c>
      <c r="E1058" t="s">
        <v>17</v>
      </c>
      <c r="F1058" t="s">
        <v>46</v>
      </c>
      <c r="G1058" t="s">
        <v>46</v>
      </c>
      <c r="H1058" t="s">
        <v>47</v>
      </c>
      <c r="I1058" t="s">
        <v>21</v>
      </c>
      <c r="J1058" t="s">
        <v>64</v>
      </c>
      <c r="K1058" s="2">
        <v>10759.52</v>
      </c>
      <c r="L1058" s="4">
        <v>7</v>
      </c>
      <c r="M1058" s="3">
        <v>0.18</v>
      </c>
      <c r="N1058" s="2">
        <v>107.6</v>
      </c>
    </row>
    <row r="1059" spans="1:14" x14ac:dyDescent="0.3">
      <c r="A1059" t="s">
        <v>1756</v>
      </c>
      <c r="B1059" s="1">
        <v>45181</v>
      </c>
      <c r="C1059" t="s">
        <v>959</v>
      </c>
      <c r="D1059" t="s">
        <v>16</v>
      </c>
      <c r="E1059" t="s">
        <v>26</v>
      </c>
      <c r="F1059" t="s">
        <v>79</v>
      </c>
      <c r="G1059" t="s">
        <v>80</v>
      </c>
      <c r="H1059" t="s">
        <v>47</v>
      </c>
      <c r="I1059" t="s">
        <v>21</v>
      </c>
      <c r="J1059" t="s">
        <v>22</v>
      </c>
      <c r="K1059" s="2">
        <v>40723.5</v>
      </c>
      <c r="L1059" s="4">
        <v>6</v>
      </c>
      <c r="M1059" s="3">
        <v>0.05</v>
      </c>
      <c r="N1059" s="2">
        <v>3054.26</v>
      </c>
    </row>
    <row r="1060" spans="1:14" x14ac:dyDescent="0.3">
      <c r="A1060" t="s">
        <v>1361</v>
      </c>
      <c r="B1060" s="1">
        <v>45181</v>
      </c>
      <c r="C1060" t="s">
        <v>667</v>
      </c>
      <c r="D1060" t="s">
        <v>50</v>
      </c>
      <c r="E1060" t="s">
        <v>51</v>
      </c>
      <c r="F1060" t="s">
        <v>40</v>
      </c>
      <c r="G1060" t="s">
        <v>41</v>
      </c>
      <c r="H1060" t="s">
        <v>42</v>
      </c>
      <c r="I1060" t="s">
        <v>21</v>
      </c>
      <c r="J1060" t="s">
        <v>37</v>
      </c>
      <c r="K1060" s="2">
        <v>34167.29</v>
      </c>
      <c r="L1060" s="4">
        <v>5</v>
      </c>
      <c r="M1060" s="3">
        <v>0.28000000000000003</v>
      </c>
      <c r="N1060" s="2">
        <v>-1366.69</v>
      </c>
    </row>
    <row r="1061" spans="1:14" x14ac:dyDescent="0.3">
      <c r="A1061" t="s">
        <v>165</v>
      </c>
      <c r="B1061" s="1">
        <v>45181</v>
      </c>
      <c r="C1061" t="s">
        <v>166</v>
      </c>
      <c r="D1061" t="s">
        <v>85</v>
      </c>
      <c r="E1061" t="s">
        <v>17</v>
      </c>
      <c r="F1061" t="s">
        <v>46</v>
      </c>
      <c r="G1061" t="s">
        <v>46</v>
      </c>
      <c r="H1061" t="s">
        <v>47</v>
      </c>
      <c r="I1061" t="s">
        <v>43</v>
      </c>
      <c r="J1061" t="s">
        <v>64</v>
      </c>
      <c r="K1061" s="2">
        <v>42235.72</v>
      </c>
      <c r="L1061" s="4">
        <v>5</v>
      </c>
      <c r="M1061" s="3">
        <v>0.3</v>
      </c>
      <c r="N1061" s="2">
        <v>-2111.79</v>
      </c>
    </row>
    <row r="1062" spans="1:14" x14ac:dyDescent="0.3">
      <c r="A1062" t="s">
        <v>360</v>
      </c>
      <c r="B1062" s="1">
        <v>45182</v>
      </c>
      <c r="C1062" t="s">
        <v>361</v>
      </c>
      <c r="D1062" t="s">
        <v>61</v>
      </c>
      <c r="E1062" t="s">
        <v>26</v>
      </c>
      <c r="F1062" t="s">
        <v>34</v>
      </c>
      <c r="G1062" t="s">
        <v>35</v>
      </c>
      <c r="H1062" t="s">
        <v>36</v>
      </c>
      <c r="I1062" t="s">
        <v>43</v>
      </c>
      <c r="J1062" t="s">
        <v>22</v>
      </c>
      <c r="K1062" s="2">
        <v>37068.720000000001</v>
      </c>
      <c r="L1062" s="4">
        <v>10</v>
      </c>
      <c r="M1062" s="3">
        <v>0.04</v>
      </c>
      <c r="N1062" s="2">
        <v>2965.5</v>
      </c>
    </row>
    <row r="1063" spans="1:14" x14ac:dyDescent="0.3">
      <c r="A1063" t="s">
        <v>1405</v>
      </c>
      <c r="B1063" s="1">
        <v>45182</v>
      </c>
      <c r="C1063" t="s">
        <v>1406</v>
      </c>
      <c r="D1063" t="s">
        <v>25</v>
      </c>
      <c r="E1063" t="s">
        <v>17</v>
      </c>
      <c r="F1063" t="s">
        <v>40</v>
      </c>
      <c r="G1063" t="s">
        <v>41</v>
      </c>
      <c r="H1063" t="s">
        <v>42</v>
      </c>
      <c r="I1063" t="s">
        <v>21</v>
      </c>
      <c r="J1063" t="s">
        <v>64</v>
      </c>
      <c r="K1063" s="2">
        <v>29075.439999999999</v>
      </c>
      <c r="L1063" s="4">
        <v>1</v>
      </c>
      <c r="M1063" s="3">
        <v>0.19</v>
      </c>
      <c r="N1063" s="2">
        <v>145.38</v>
      </c>
    </row>
    <row r="1064" spans="1:14" x14ac:dyDescent="0.3">
      <c r="A1064" t="s">
        <v>1755</v>
      </c>
      <c r="B1064" s="1">
        <v>45182</v>
      </c>
      <c r="C1064" t="s">
        <v>1486</v>
      </c>
      <c r="D1064" t="s">
        <v>25</v>
      </c>
      <c r="E1064" t="s">
        <v>17</v>
      </c>
      <c r="F1064" t="s">
        <v>79</v>
      </c>
      <c r="G1064" t="s">
        <v>80</v>
      </c>
      <c r="H1064" t="s">
        <v>47</v>
      </c>
      <c r="I1064" t="s">
        <v>43</v>
      </c>
      <c r="J1064" t="s">
        <v>106</v>
      </c>
      <c r="K1064" s="2">
        <v>19401.580000000002</v>
      </c>
      <c r="L1064" s="4">
        <v>2</v>
      </c>
      <c r="M1064" s="3">
        <v>0.15</v>
      </c>
      <c r="N1064" s="2">
        <v>485.04</v>
      </c>
    </row>
    <row r="1065" spans="1:14" x14ac:dyDescent="0.3">
      <c r="A1065" t="s">
        <v>1982</v>
      </c>
      <c r="B1065" s="1">
        <v>45182</v>
      </c>
      <c r="C1065" t="s">
        <v>1983</v>
      </c>
      <c r="D1065" t="s">
        <v>50</v>
      </c>
      <c r="E1065" t="s">
        <v>17</v>
      </c>
      <c r="F1065" t="s">
        <v>79</v>
      </c>
      <c r="G1065" t="s">
        <v>80</v>
      </c>
      <c r="H1065" t="s">
        <v>47</v>
      </c>
      <c r="I1065" t="s">
        <v>21</v>
      </c>
      <c r="J1065" t="s">
        <v>54</v>
      </c>
      <c r="K1065" s="2">
        <v>39427.25</v>
      </c>
      <c r="L1065" s="4">
        <v>9</v>
      </c>
      <c r="M1065" s="3">
        <v>0.2</v>
      </c>
      <c r="N1065" s="2">
        <v>0</v>
      </c>
    </row>
    <row r="1066" spans="1:14" x14ac:dyDescent="0.3">
      <c r="A1066" t="s">
        <v>1710</v>
      </c>
      <c r="B1066" s="1">
        <v>45183</v>
      </c>
      <c r="C1066" t="s">
        <v>1425</v>
      </c>
      <c r="D1066" t="s">
        <v>61</v>
      </c>
      <c r="E1066" t="s">
        <v>51</v>
      </c>
      <c r="F1066" t="s">
        <v>46</v>
      </c>
      <c r="G1066" t="s">
        <v>46</v>
      </c>
      <c r="H1066" t="s">
        <v>47</v>
      </c>
      <c r="I1066" t="s">
        <v>29</v>
      </c>
      <c r="J1066" t="s">
        <v>64</v>
      </c>
      <c r="K1066" s="2">
        <v>35371.160000000003</v>
      </c>
      <c r="L1066" s="4">
        <v>7</v>
      </c>
      <c r="M1066" s="3">
        <v>0.04</v>
      </c>
      <c r="N1066" s="2">
        <v>2829.69</v>
      </c>
    </row>
    <row r="1067" spans="1:14" x14ac:dyDescent="0.3">
      <c r="A1067" t="s">
        <v>1912</v>
      </c>
      <c r="B1067" s="1">
        <v>45183</v>
      </c>
      <c r="C1067" t="s">
        <v>704</v>
      </c>
      <c r="D1067" t="s">
        <v>25</v>
      </c>
      <c r="E1067" t="s">
        <v>17</v>
      </c>
      <c r="F1067" t="s">
        <v>18</v>
      </c>
      <c r="G1067" t="s">
        <v>19</v>
      </c>
      <c r="H1067" t="s">
        <v>20</v>
      </c>
      <c r="I1067" t="s">
        <v>21</v>
      </c>
      <c r="J1067" t="s">
        <v>64</v>
      </c>
      <c r="K1067" s="2">
        <v>36523.82</v>
      </c>
      <c r="L1067" s="4">
        <v>9</v>
      </c>
      <c r="M1067" s="3">
        <v>0.22</v>
      </c>
      <c r="N1067" s="2">
        <v>-365.24</v>
      </c>
    </row>
    <row r="1068" spans="1:14" x14ac:dyDescent="0.3">
      <c r="A1068" t="s">
        <v>1810</v>
      </c>
      <c r="B1068" s="1">
        <v>45183</v>
      </c>
      <c r="C1068" t="s">
        <v>225</v>
      </c>
      <c r="D1068" t="s">
        <v>50</v>
      </c>
      <c r="E1068" t="s">
        <v>17</v>
      </c>
      <c r="F1068" t="s">
        <v>46</v>
      </c>
      <c r="G1068" t="s">
        <v>46</v>
      </c>
      <c r="H1068" t="s">
        <v>47</v>
      </c>
      <c r="I1068" t="s">
        <v>43</v>
      </c>
      <c r="J1068" t="s">
        <v>54</v>
      </c>
      <c r="K1068" s="2">
        <v>20695.490000000002</v>
      </c>
      <c r="L1068" s="4">
        <v>9</v>
      </c>
      <c r="M1068" s="3">
        <v>0.12</v>
      </c>
      <c r="N1068" s="2">
        <v>827.82</v>
      </c>
    </row>
    <row r="1069" spans="1:14" x14ac:dyDescent="0.3">
      <c r="A1069" t="s">
        <v>420</v>
      </c>
      <c r="B1069" s="1">
        <v>45184</v>
      </c>
      <c r="C1069" t="s">
        <v>421</v>
      </c>
      <c r="D1069" t="s">
        <v>16</v>
      </c>
      <c r="E1069" t="s">
        <v>17</v>
      </c>
      <c r="F1069" t="s">
        <v>40</v>
      </c>
      <c r="G1069" t="s">
        <v>41</v>
      </c>
      <c r="H1069" t="s">
        <v>42</v>
      </c>
      <c r="I1069" t="s">
        <v>29</v>
      </c>
      <c r="J1069" t="s">
        <v>37</v>
      </c>
      <c r="K1069" s="2">
        <v>2215.52</v>
      </c>
      <c r="L1069" s="4">
        <v>7</v>
      </c>
      <c r="M1069" s="3">
        <v>0.22</v>
      </c>
      <c r="N1069" s="2">
        <v>-22.16</v>
      </c>
    </row>
    <row r="1070" spans="1:14" x14ac:dyDescent="0.3">
      <c r="A1070" t="s">
        <v>1782</v>
      </c>
      <c r="B1070" s="1">
        <v>45184</v>
      </c>
      <c r="C1070" t="s">
        <v>293</v>
      </c>
      <c r="D1070" t="s">
        <v>61</v>
      </c>
      <c r="E1070" t="s">
        <v>51</v>
      </c>
      <c r="F1070" t="s">
        <v>46</v>
      </c>
      <c r="G1070" t="s">
        <v>46</v>
      </c>
      <c r="H1070" t="s">
        <v>47</v>
      </c>
      <c r="I1070" t="s">
        <v>29</v>
      </c>
      <c r="J1070" t="s">
        <v>37</v>
      </c>
      <c r="K1070" s="2">
        <v>16736.82</v>
      </c>
      <c r="L1070" s="4">
        <v>5</v>
      </c>
      <c r="M1070" s="3">
        <v>0.13</v>
      </c>
      <c r="N1070" s="2">
        <v>585.79</v>
      </c>
    </row>
    <row r="1071" spans="1:14" x14ac:dyDescent="0.3">
      <c r="A1071" t="s">
        <v>1403</v>
      </c>
      <c r="B1071" s="1">
        <v>45184</v>
      </c>
      <c r="C1071" t="s">
        <v>1404</v>
      </c>
      <c r="D1071" t="s">
        <v>57</v>
      </c>
      <c r="E1071" t="s">
        <v>51</v>
      </c>
      <c r="F1071" t="s">
        <v>27</v>
      </c>
      <c r="G1071" t="s">
        <v>28</v>
      </c>
      <c r="H1071" t="s">
        <v>20</v>
      </c>
      <c r="I1071" t="s">
        <v>21</v>
      </c>
      <c r="J1071" t="s">
        <v>54</v>
      </c>
      <c r="K1071" s="2">
        <v>27235.39</v>
      </c>
      <c r="L1071" s="4">
        <v>2</v>
      </c>
      <c r="M1071" s="3">
        <v>0.23</v>
      </c>
      <c r="N1071" s="2">
        <v>-408.53</v>
      </c>
    </row>
    <row r="1072" spans="1:14" x14ac:dyDescent="0.3">
      <c r="A1072" t="s">
        <v>2262</v>
      </c>
      <c r="B1072" s="1">
        <v>45185</v>
      </c>
      <c r="C1072" t="s">
        <v>1135</v>
      </c>
      <c r="D1072" t="s">
        <v>16</v>
      </c>
      <c r="E1072" t="s">
        <v>51</v>
      </c>
      <c r="F1072" t="s">
        <v>40</v>
      </c>
      <c r="G1072" t="s">
        <v>41</v>
      </c>
      <c r="H1072" t="s">
        <v>42</v>
      </c>
      <c r="I1072" t="s">
        <v>29</v>
      </c>
      <c r="J1072" t="s">
        <v>22</v>
      </c>
      <c r="K1072" s="2">
        <v>44147.1</v>
      </c>
      <c r="L1072" s="4">
        <v>5</v>
      </c>
      <c r="M1072" s="3">
        <v>0.01</v>
      </c>
      <c r="N1072" s="2">
        <v>4193.97</v>
      </c>
    </row>
    <row r="1073" spans="1:14" x14ac:dyDescent="0.3">
      <c r="A1073" t="s">
        <v>1209</v>
      </c>
      <c r="B1073" s="1">
        <v>45186</v>
      </c>
      <c r="C1073" t="s">
        <v>1210</v>
      </c>
      <c r="D1073" t="s">
        <v>16</v>
      </c>
      <c r="E1073" t="s">
        <v>17</v>
      </c>
      <c r="F1073" t="s">
        <v>79</v>
      </c>
      <c r="G1073" t="s">
        <v>80</v>
      </c>
      <c r="H1073" t="s">
        <v>47</v>
      </c>
      <c r="I1073" t="s">
        <v>29</v>
      </c>
      <c r="J1073" t="s">
        <v>37</v>
      </c>
      <c r="K1073" s="2">
        <v>674.31</v>
      </c>
      <c r="L1073" s="4">
        <v>7</v>
      </c>
      <c r="M1073" s="3">
        <v>0.19</v>
      </c>
      <c r="N1073" s="2">
        <v>3.37</v>
      </c>
    </row>
    <row r="1074" spans="1:14" x14ac:dyDescent="0.3">
      <c r="A1074" t="s">
        <v>1684</v>
      </c>
      <c r="B1074" s="1">
        <v>45186</v>
      </c>
      <c r="C1074" t="s">
        <v>1030</v>
      </c>
      <c r="D1074" t="s">
        <v>85</v>
      </c>
      <c r="E1074" t="s">
        <v>51</v>
      </c>
      <c r="F1074" t="s">
        <v>79</v>
      </c>
      <c r="G1074" t="s">
        <v>80</v>
      </c>
      <c r="H1074" t="s">
        <v>47</v>
      </c>
      <c r="I1074" t="s">
        <v>43</v>
      </c>
      <c r="J1074" t="s">
        <v>54</v>
      </c>
      <c r="K1074" s="2">
        <v>43459.13</v>
      </c>
      <c r="L1074" s="4">
        <v>2</v>
      </c>
      <c r="M1074" s="3">
        <v>0.14000000000000001</v>
      </c>
      <c r="N1074" s="2">
        <v>1303.77</v>
      </c>
    </row>
    <row r="1075" spans="1:14" x14ac:dyDescent="0.3">
      <c r="A1075" t="s">
        <v>1389</v>
      </c>
      <c r="B1075" s="1">
        <v>45187</v>
      </c>
      <c r="C1075" t="s">
        <v>1390</v>
      </c>
      <c r="D1075" t="s">
        <v>61</v>
      </c>
      <c r="E1075" t="s">
        <v>17</v>
      </c>
      <c r="F1075" t="s">
        <v>34</v>
      </c>
      <c r="G1075" t="s">
        <v>35</v>
      </c>
      <c r="H1075" t="s">
        <v>36</v>
      </c>
      <c r="I1075" t="s">
        <v>43</v>
      </c>
      <c r="J1075" t="s">
        <v>54</v>
      </c>
      <c r="K1075" s="2">
        <v>14068.02</v>
      </c>
      <c r="L1075" s="4">
        <v>3</v>
      </c>
      <c r="M1075" s="3">
        <v>0.17</v>
      </c>
      <c r="N1075" s="2">
        <v>211.02</v>
      </c>
    </row>
    <row r="1076" spans="1:14" x14ac:dyDescent="0.3">
      <c r="A1076" t="s">
        <v>1634</v>
      </c>
      <c r="B1076" s="1">
        <v>45187</v>
      </c>
      <c r="C1076" t="s">
        <v>170</v>
      </c>
      <c r="D1076" t="s">
        <v>57</v>
      </c>
      <c r="E1076" t="s">
        <v>51</v>
      </c>
      <c r="F1076" t="s">
        <v>34</v>
      </c>
      <c r="G1076" t="s">
        <v>35</v>
      </c>
      <c r="H1076" t="s">
        <v>36</v>
      </c>
      <c r="I1076" t="s">
        <v>21</v>
      </c>
      <c r="J1076" t="s">
        <v>37</v>
      </c>
      <c r="K1076" s="2">
        <v>33397.230000000003</v>
      </c>
      <c r="L1076" s="4">
        <v>9</v>
      </c>
      <c r="M1076" s="3">
        <v>0.03</v>
      </c>
      <c r="N1076" s="2">
        <v>2838.76</v>
      </c>
    </row>
    <row r="1077" spans="1:14" x14ac:dyDescent="0.3">
      <c r="A1077" t="s">
        <v>340</v>
      </c>
      <c r="B1077" s="1">
        <v>45187</v>
      </c>
      <c r="C1077" t="s">
        <v>206</v>
      </c>
      <c r="D1077" t="s">
        <v>61</v>
      </c>
      <c r="E1077" t="s">
        <v>26</v>
      </c>
      <c r="F1077" t="s">
        <v>40</v>
      </c>
      <c r="G1077" t="s">
        <v>41</v>
      </c>
      <c r="H1077" t="s">
        <v>42</v>
      </c>
      <c r="I1077" t="s">
        <v>43</v>
      </c>
      <c r="J1077" t="s">
        <v>30</v>
      </c>
      <c r="K1077" s="2">
        <v>9842.19</v>
      </c>
      <c r="L1077" s="4">
        <v>9</v>
      </c>
      <c r="M1077" s="3">
        <v>0.23</v>
      </c>
      <c r="N1077" s="2">
        <v>-147.63</v>
      </c>
    </row>
    <row r="1078" spans="1:14" x14ac:dyDescent="0.3">
      <c r="A1078" t="s">
        <v>581</v>
      </c>
      <c r="B1078" s="1">
        <v>45188</v>
      </c>
      <c r="C1078" t="s">
        <v>507</v>
      </c>
      <c r="D1078" t="s">
        <v>50</v>
      </c>
      <c r="E1078" t="s">
        <v>51</v>
      </c>
      <c r="F1078" t="s">
        <v>27</v>
      </c>
      <c r="G1078" t="s">
        <v>28</v>
      </c>
      <c r="H1078" t="s">
        <v>20</v>
      </c>
      <c r="I1078" t="s">
        <v>43</v>
      </c>
      <c r="J1078" t="s">
        <v>37</v>
      </c>
      <c r="K1078" s="2">
        <v>31456.39</v>
      </c>
      <c r="L1078" s="4">
        <v>1</v>
      </c>
      <c r="M1078" s="3">
        <v>0.28999999999999998</v>
      </c>
      <c r="N1078" s="2">
        <v>-1415.54</v>
      </c>
    </row>
    <row r="1079" spans="1:14" x14ac:dyDescent="0.3">
      <c r="A1079" t="s">
        <v>758</v>
      </c>
      <c r="B1079" s="1">
        <v>45188</v>
      </c>
      <c r="C1079" t="s">
        <v>759</v>
      </c>
      <c r="D1079" t="s">
        <v>33</v>
      </c>
      <c r="E1079" t="s">
        <v>26</v>
      </c>
      <c r="F1079" t="s">
        <v>40</v>
      </c>
      <c r="G1079" t="s">
        <v>41</v>
      </c>
      <c r="H1079" t="s">
        <v>42</v>
      </c>
      <c r="I1079" t="s">
        <v>21</v>
      </c>
      <c r="J1079" t="s">
        <v>37</v>
      </c>
      <c r="K1079" s="2">
        <v>42246.96</v>
      </c>
      <c r="L1079" s="4">
        <v>2</v>
      </c>
      <c r="M1079" s="3">
        <v>0.2</v>
      </c>
      <c r="N1079" s="2">
        <v>0</v>
      </c>
    </row>
    <row r="1080" spans="1:14" x14ac:dyDescent="0.3">
      <c r="A1080" t="s">
        <v>1518</v>
      </c>
      <c r="B1080" s="1">
        <v>45188</v>
      </c>
      <c r="C1080" t="s">
        <v>293</v>
      </c>
      <c r="D1080" t="s">
        <v>57</v>
      </c>
      <c r="E1080" t="s">
        <v>51</v>
      </c>
      <c r="F1080" t="s">
        <v>40</v>
      </c>
      <c r="G1080" t="s">
        <v>41</v>
      </c>
      <c r="H1080" t="s">
        <v>42</v>
      </c>
      <c r="I1080" t="s">
        <v>43</v>
      </c>
      <c r="J1080" t="s">
        <v>54</v>
      </c>
      <c r="K1080" s="2">
        <v>25909.39</v>
      </c>
      <c r="L1080" s="4">
        <v>9</v>
      </c>
      <c r="M1080" s="3">
        <v>0.21</v>
      </c>
      <c r="N1080" s="2">
        <v>-129.55000000000001</v>
      </c>
    </row>
    <row r="1081" spans="1:14" x14ac:dyDescent="0.3">
      <c r="A1081" t="s">
        <v>1820</v>
      </c>
      <c r="B1081" s="1">
        <v>45188</v>
      </c>
      <c r="C1081" t="s">
        <v>1821</v>
      </c>
      <c r="D1081" t="s">
        <v>61</v>
      </c>
      <c r="E1081" t="s">
        <v>51</v>
      </c>
      <c r="F1081" t="s">
        <v>27</v>
      </c>
      <c r="G1081" t="s">
        <v>28</v>
      </c>
      <c r="H1081" t="s">
        <v>20</v>
      </c>
      <c r="I1081" t="s">
        <v>29</v>
      </c>
      <c r="J1081" t="s">
        <v>37</v>
      </c>
      <c r="K1081" s="2">
        <v>41097.440000000002</v>
      </c>
      <c r="L1081" s="4">
        <v>5</v>
      </c>
      <c r="M1081" s="3">
        <v>0.12</v>
      </c>
      <c r="N1081" s="2">
        <v>1643.9</v>
      </c>
    </row>
    <row r="1082" spans="1:14" x14ac:dyDescent="0.3">
      <c r="A1082" t="s">
        <v>2248</v>
      </c>
      <c r="B1082" s="1">
        <v>45188</v>
      </c>
      <c r="C1082" t="s">
        <v>1152</v>
      </c>
      <c r="D1082" t="s">
        <v>25</v>
      </c>
      <c r="E1082" t="s">
        <v>17</v>
      </c>
      <c r="F1082" t="s">
        <v>34</v>
      </c>
      <c r="G1082" t="s">
        <v>35</v>
      </c>
      <c r="H1082" t="s">
        <v>36</v>
      </c>
      <c r="I1082" t="s">
        <v>29</v>
      </c>
      <c r="J1082" t="s">
        <v>58</v>
      </c>
      <c r="K1082" s="2">
        <v>26360.31</v>
      </c>
      <c r="L1082" s="4">
        <v>6</v>
      </c>
      <c r="M1082" s="3">
        <v>0.21</v>
      </c>
      <c r="N1082" s="2">
        <v>-131.80000000000001</v>
      </c>
    </row>
    <row r="1083" spans="1:14" x14ac:dyDescent="0.3">
      <c r="A1083" t="s">
        <v>982</v>
      </c>
      <c r="B1083" s="1">
        <v>45188</v>
      </c>
      <c r="C1083" t="s">
        <v>350</v>
      </c>
      <c r="D1083" t="s">
        <v>61</v>
      </c>
      <c r="E1083" t="s">
        <v>51</v>
      </c>
      <c r="F1083" t="s">
        <v>46</v>
      </c>
      <c r="G1083" t="s">
        <v>46</v>
      </c>
      <c r="H1083" t="s">
        <v>47</v>
      </c>
      <c r="I1083" t="s">
        <v>21</v>
      </c>
      <c r="J1083" t="s">
        <v>64</v>
      </c>
      <c r="K1083" s="2">
        <v>43962.7</v>
      </c>
      <c r="L1083" s="4">
        <v>6</v>
      </c>
      <c r="M1083" s="3">
        <v>0.09</v>
      </c>
      <c r="N1083" s="2">
        <v>2417.9499999999998</v>
      </c>
    </row>
    <row r="1084" spans="1:14" x14ac:dyDescent="0.3">
      <c r="A1084" t="s">
        <v>69</v>
      </c>
      <c r="B1084" s="1">
        <v>45189</v>
      </c>
      <c r="C1084" t="s">
        <v>70</v>
      </c>
      <c r="D1084" t="s">
        <v>33</v>
      </c>
      <c r="E1084" t="s">
        <v>26</v>
      </c>
      <c r="F1084" t="s">
        <v>18</v>
      </c>
      <c r="G1084" t="s">
        <v>19</v>
      </c>
      <c r="H1084" t="s">
        <v>20</v>
      </c>
      <c r="I1084" t="s">
        <v>29</v>
      </c>
      <c r="J1084" t="s">
        <v>37</v>
      </c>
      <c r="K1084" s="2">
        <v>32091.31</v>
      </c>
      <c r="L1084" s="4">
        <v>8</v>
      </c>
      <c r="M1084" s="3">
        <v>0.12</v>
      </c>
      <c r="N1084" s="2">
        <v>1283.6500000000001</v>
      </c>
    </row>
    <row r="1085" spans="1:14" x14ac:dyDescent="0.3">
      <c r="A1085" t="s">
        <v>1703</v>
      </c>
      <c r="B1085" s="1">
        <v>45189</v>
      </c>
      <c r="C1085" t="s">
        <v>1617</v>
      </c>
      <c r="D1085" t="s">
        <v>16</v>
      </c>
      <c r="E1085" t="s">
        <v>17</v>
      </c>
      <c r="F1085" t="s">
        <v>27</v>
      </c>
      <c r="G1085" t="s">
        <v>28</v>
      </c>
      <c r="H1085" t="s">
        <v>20</v>
      </c>
      <c r="I1085" t="s">
        <v>21</v>
      </c>
      <c r="J1085" t="s">
        <v>54</v>
      </c>
      <c r="K1085" s="2">
        <v>27226.65</v>
      </c>
      <c r="L1085" s="4">
        <v>6</v>
      </c>
      <c r="M1085" s="3">
        <v>0.28000000000000003</v>
      </c>
      <c r="N1085" s="2">
        <v>-1089.07</v>
      </c>
    </row>
    <row r="1086" spans="1:14" x14ac:dyDescent="0.3">
      <c r="A1086" t="s">
        <v>312</v>
      </c>
      <c r="B1086" s="1">
        <v>45190</v>
      </c>
      <c r="C1086" t="s">
        <v>313</v>
      </c>
      <c r="D1086" t="s">
        <v>25</v>
      </c>
      <c r="E1086" t="s">
        <v>17</v>
      </c>
      <c r="F1086" t="s">
        <v>79</v>
      </c>
      <c r="G1086" t="s">
        <v>80</v>
      </c>
      <c r="H1086" t="s">
        <v>47</v>
      </c>
      <c r="I1086" t="s">
        <v>21</v>
      </c>
      <c r="J1086" t="s">
        <v>64</v>
      </c>
      <c r="K1086" s="2">
        <v>24630</v>
      </c>
      <c r="L1086" s="4">
        <v>6</v>
      </c>
      <c r="M1086" s="3">
        <v>0.12</v>
      </c>
      <c r="N1086" s="2">
        <v>985.2</v>
      </c>
    </row>
    <row r="1087" spans="1:14" x14ac:dyDescent="0.3">
      <c r="A1087" t="s">
        <v>547</v>
      </c>
      <c r="B1087" s="1">
        <v>45190</v>
      </c>
      <c r="C1087" t="s">
        <v>548</v>
      </c>
      <c r="D1087" t="s">
        <v>50</v>
      </c>
      <c r="E1087" t="s">
        <v>17</v>
      </c>
      <c r="F1087" t="s">
        <v>46</v>
      </c>
      <c r="G1087" t="s">
        <v>46</v>
      </c>
      <c r="H1087" t="s">
        <v>47</v>
      </c>
      <c r="I1087" t="s">
        <v>43</v>
      </c>
      <c r="J1087" t="s">
        <v>54</v>
      </c>
      <c r="K1087" s="2">
        <v>17724.919999999998</v>
      </c>
      <c r="L1087" s="4">
        <v>8</v>
      </c>
      <c r="M1087" s="3">
        <v>0.04</v>
      </c>
      <c r="N1087" s="2">
        <v>1417.99</v>
      </c>
    </row>
    <row r="1088" spans="1:14" x14ac:dyDescent="0.3">
      <c r="A1088" t="s">
        <v>609</v>
      </c>
      <c r="B1088" s="1">
        <v>45191</v>
      </c>
      <c r="C1088" t="s">
        <v>610</v>
      </c>
      <c r="D1088" t="s">
        <v>16</v>
      </c>
      <c r="E1088" t="s">
        <v>51</v>
      </c>
      <c r="F1088" t="s">
        <v>40</v>
      </c>
      <c r="G1088" t="s">
        <v>41</v>
      </c>
      <c r="H1088" t="s">
        <v>42</v>
      </c>
      <c r="I1088" t="s">
        <v>29</v>
      </c>
      <c r="J1088" t="s">
        <v>54</v>
      </c>
      <c r="K1088" s="2">
        <v>44980.83</v>
      </c>
      <c r="L1088" s="4">
        <v>6</v>
      </c>
      <c r="M1088" s="3">
        <v>0.27</v>
      </c>
      <c r="N1088" s="2">
        <v>-1574.33</v>
      </c>
    </row>
    <row r="1089" spans="1:14" x14ac:dyDescent="0.3">
      <c r="A1089" t="s">
        <v>628</v>
      </c>
      <c r="B1089" s="1">
        <v>45191</v>
      </c>
      <c r="C1089" t="s">
        <v>212</v>
      </c>
      <c r="D1089" t="s">
        <v>50</v>
      </c>
      <c r="E1089" t="s">
        <v>26</v>
      </c>
      <c r="F1089" t="s">
        <v>40</v>
      </c>
      <c r="G1089" t="s">
        <v>41</v>
      </c>
      <c r="H1089" t="s">
        <v>42</v>
      </c>
      <c r="I1089" t="s">
        <v>43</v>
      </c>
      <c r="J1089" t="s">
        <v>106</v>
      </c>
      <c r="K1089" s="2">
        <v>35759.72</v>
      </c>
      <c r="L1089" s="4">
        <v>8</v>
      </c>
      <c r="M1089" s="3">
        <v>0.3</v>
      </c>
      <c r="N1089" s="2">
        <v>-1787.99</v>
      </c>
    </row>
    <row r="1090" spans="1:14" x14ac:dyDescent="0.3">
      <c r="A1090" t="s">
        <v>831</v>
      </c>
      <c r="B1090" s="1">
        <v>45191</v>
      </c>
      <c r="C1090" t="s">
        <v>759</v>
      </c>
      <c r="D1090" t="s">
        <v>61</v>
      </c>
      <c r="E1090" t="s">
        <v>51</v>
      </c>
      <c r="F1090" t="s">
        <v>27</v>
      </c>
      <c r="G1090" t="s">
        <v>28</v>
      </c>
      <c r="H1090" t="s">
        <v>20</v>
      </c>
      <c r="I1090" t="s">
        <v>29</v>
      </c>
      <c r="J1090" t="s">
        <v>54</v>
      </c>
      <c r="K1090" s="2">
        <v>3324.47</v>
      </c>
      <c r="L1090" s="4">
        <v>6</v>
      </c>
      <c r="M1090" s="3">
        <v>0.01</v>
      </c>
      <c r="N1090" s="2">
        <v>315.82</v>
      </c>
    </row>
    <row r="1091" spans="1:14" x14ac:dyDescent="0.3">
      <c r="A1091" t="s">
        <v>1584</v>
      </c>
      <c r="B1091" s="1">
        <v>45191</v>
      </c>
      <c r="C1091" t="s">
        <v>1585</v>
      </c>
      <c r="D1091" t="s">
        <v>25</v>
      </c>
      <c r="E1091" t="s">
        <v>26</v>
      </c>
      <c r="F1091" t="s">
        <v>40</v>
      </c>
      <c r="G1091" t="s">
        <v>41</v>
      </c>
      <c r="H1091" t="s">
        <v>42</v>
      </c>
      <c r="I1091" t="s">
        <v>29</v>
      </c>
      <c r="J1091" t="s">
        <v>22</v>
      </c>
      <c r="K1091" s="2">
        <v>26098.2</v>
      </c>
      <c r="L1091" s="4">
        <v>9</v>
      </c>
      <c r="M1091" s="3">
        <v>0.02</v>
      </c>
      <c r="N1091" s="2">
        <v>2348.84</v>
      </c>
    </row>
    <row r="1092" spans="1:14" x14ac:dyDescent="0.3">
      <c r="A1092" t="s">
        <v>2122</v>
      </c>
      <c r="B1092" s="1">
        <v>45191</v>
      </c>
      <c r="C1092" t="s">
        <v>2123</v>
      </c>
      <c r="D1092" t="s">
        <v>61</v>
      </c>
      <c r="E1092" t="s">
        <v>17</v>
      </c>
      <c r="F1092" t="s">
        <v>40</v>
      </c>
      <c r="G1092" t="s">
        <v>41</v>
      </c>
      <c r="H1092" t="s">
        <v>42</v>
      </c>
      <c r="I1092" t="s">
        <v>29</v>
      </c>
      <c r="J1092" t="s">
        <v>106</v>
      </c>
      <c r="K1092" s="2">
        <v>45580.17</v>
      </c>
      <c r="L1092" s="4">
        <v>10</v>
      </c>
      <c r="M1092" s="3">
        <v>0.11</v>
      </c>
      <c r="N1092" s="2">
        <v>2051.11</v>
      </c>
    </row>
    <row r="1093" spans="1:14" x14ac:dyDescent="0.3">
      <c r="A1093" t="s">
        <v>1513</v>
      </c>
      <c r="B1093" s="1">
        <v>45191</v>
      </c>
      <c r="C1093" t="s">
        <v>656</v>
      </c>
      <c r="D1093" t="s">
        <v>50</v>
      </c>
      <c r="E1093" t="s">
        <v>26</v>
      </c>
      <c r="F1093" t="s">
        <v>40</v>
      </c>
      <c r="G1093" t="s">
        <v>41</v>
      </c>
      <c r="H1093" t="s">
        <v>42</v>
      </c>
      <c r="I1093" t="s">
        <v>21</v>
      </c>
      <c r="J1093" t="s">
        <v>54</v>
      </c>
      <c r="K1093" s="2">
        <v>12349.66</v>
      </c>
      <c r="L1093" s="4">
        <v>5</v>
      </c>
      <c r="M1093" s="3">
        <v>0.01</v>
      </c>
      <c r="N1093" s="2">
        <v>1173.22</v>
      </c>
    </row>
    <row r="1094" spans="1:14" x14ac:dyDescent="0.3">
      <c r="A1094" t="s">
        <v>1832</v>
      </c>
      <c r="B1094" s="1">
        <v>45191</v>
      </c>
      <c r="C1094" t="s">
        <v>1833</v>
      </c>
      <c r="D1094" t="s">
        <v>57</v>
      </c>
      <c r="E1094" t="s">
        <v>26</v>
      </c>
      <c r="F1094" t="s">
        <v>40</v>
      </c>
      <c r="G1094" t="s">
        <v>41</v>
      </c>
      <c r="H1094" t="s">
        <v>42</v>
      </c>
      <c r="I1094" t="s">
        <v>43</v>
      </c>
      <c r="J1094" t="s">
        <v>22</v>
      </c>
      <c r="K1094" s="2">
        <v>17547.52</v>
      </c>
      <c r="L1094" s="4">
        <v>7</v>
      </c>
      <c r="M1094" s="3">
        <v>0.27</v>
      </c>
      <c r="N1094" s="2">
        <v>-614.16</v>
      </c>
    </row>
    <row r="1095" spans="1:14" x14ac:dyDescent="0.3">
      <c r="A1095" t="s">
        <v>1051</v>
      </c>
      <c r="B1095" s="1">
        <v>45192</v>
      </c>
      <c r="C1095" t="s">
        <v>1052</v>
      </c>
      <c r="D1095" t="s">
        <v>50</v>
      </c>
      <c r="E1095" t="s">
        <v>51</v>
      </c>
      <c r="F1095" t="s">
        <v>40</v>
      </c>
      <c r="G1095" t="s">
        <v>41</v>
      </c>
      <c r="H1095" t="s">
        <v>42</v>
      </c>
      <c r="I1095" t="s">
        <v>21</v>
      </c>
      <c r="J1095" t="s">
        <v>30</v>
      </c>
      <c r="K1095" s="2">
        <v>18193.830000000002</v>
      </c>
      <c r="L1095" s="4">
        <v>6</v>
      </c>
      <c r="M1095" s="3">
        <v>0.23</v>
      </c>
      <c r="N1095" s="2">
        <v>-272.91000000000003</v>
      </c>
    </row>
    <row r="1096" spans="1:14" x14ac:dyDescent="0.3">
      <c r="A1096" t="s">
        <v>349</v>
      </c>
      <c r="B1096" s="1">
        <v>45193</v>
      </c>
      <c r="C1096" t="s">
        <v>350</v>
      </c>
      <c r="D1096" t="s">
        <v>57</v>
      </c>
      <c r="E1096" t="s">
        <v>17</v>
      </c>
      <c r="F1096" t="s">
        <v>18</v>
      </c>
      <c r="G1096" t="s">
        <v>19</v>
      </c>
      <c r="H1096" t="s">
        <v>20</v>
      </c>
      <c r="I1096" t="s">
        <v>43</v>
      </c>
      <c r="J1096" t="s">
        <v>37</v>
      </c>
      <c r="K1096" s="2">
        <v>11799.29</v>
      </c>
      <c r="L1096" s="4">
        <v>9</v>
      </c>
      <c r="M1096" s="3">
        <v>0.19</v>
      </c>
      <c r="N1096" s="2">
        <v>59</v>
      </c>
    </row>
    <row r="1097" spans="1:14" x14ac:dyDescent="0.3">
      <c r="A1097" t="s">
        <v>472</v>
      </c>
      <c r="B1097" s="1">
        <v>45193</v>
      </c>
      <c r="C1097" t="s">
        <v>473</v>
      </c>
      <c r="D1097" t="s">
        <v>61</v>
      </c>
      <c r="E1097" t="s">
        <v>51</v>
      </c>
      <c r="F1097" t="s">
        <v>79</v>
      </c>
      <c r="G1097" t="s">
        <v>80</v>
      </c>
      <c r="H1097" t="s">
        <v>47</v>
      </c>
      <c r="I1097" t="s">
        <v>43</v>
      </c>
      <c r="J1097" t="s">
        <v>58</v>
      </c>
      <c r="K1097" s="2">
        <v>26070.14</v>
      </c>
      <c r="L1097" s="4">
        <v>3</v>
      </c>
      <c r="M1097" s="3">
        <v>0.02</v>
      </c>
      <c r="N1097" s="2">
        <v>2346.31</v>
      </c>
    </row>
    <row r="1098" spans="1:14" x14ac:dyDescent="0.3">
      <c r="A1098" t="s">
        <v>1048</v>
      </c>
      <c r="B1098" s="1">
        <v>45193</v>
      </c>
      <c r="C1098" t="s">
        <v>168</v>
      </c>
      <c r="D1098" t="s">
        <v>57</v>
      </c>
      <c r="E1098" t="s">
        <v>26</v>
      </c>
      <c r="F1098" t="s">
        <v>79</v>
      </c>
      <c r="G1098" t="s">
        <v>80</v>
      </c>
      <c r="H1098" t="s">
        <v>47</v>
      </c>
      <c r="I1098" t="s">
        <v>21</v>
      </c>
      <c r="J1098" t="s">
        <v>22</v>
      </c>
      <c r="K1098" s="2">
        <v>912.65</v>
      </c>
      <c r="L1098" s="4">
        <v>5</v>
      </c>
      <c r="M1098" s="3">
        <v>0.04</v>
      </c>
      <c r="N1098" s="2">
        <v>73.010000000000005</v>
      </c>
    </row>
    <row r="1099" spans="1:14" x14ac:dyDescent="0.3">
      <c r="A1099" t="s">
        <v>1903</v>
      </c>
      <c r="B1099" s="1">
        <v>45193</v>
      </c>
      <c r="C1099" t="s">
        <v>741</v>
      </c>
      <c r="D1099" t="s">
        <v>50</v>
      </c>
      <c r="E1099" t="s">
        <v>51</v>
      </c>
      <c r="F1099" t="s">
        <v>46</v>
      </c>
      <c r="G1099" t="s">
        <v>46</v>
      </c>
      <c r="H1099" t="s">
        <v>47</v>
      </c>
      <c r="I1099" t="s">
        <v>29</v>
      </c>
      <c r="J1099" t="s">
        <v>30</v>
      </c>
      <c r="K1099" s="2">
        <v>48469.09</v>
      </c>
      <c r="L1099" s="4">
        <v>9</v>
      </c>
      <c r="M1099" s="3">
        <v>0.14000000000000001</v>
      </c>
      <c r="N1099" s="2">
        <v>1454.07</v>
      </c>
    </row>
    <row r="1100" spans="1:14" x14ac:dyDescent="0.3">
      <c r="A1100" t="s">
        <v>1106</v>
      </c>
      <c r="B1100" s="1">
        <v>45194</v>
      </c>
      <c r="C1100" t="s">
        <v>1107</v>
      </c>
      <c r="D1100" t="s">
        <v>85</v>
      </c>
      <c r="E1100" t="s">
        <v>17</v>
      </c>
      <c r="F1100" t="s">
        <v>18</v>
      </c>
      <c r="G1100" t="s">
        <v>19</v>
      </c>
      <c r="H1100" t="s">
        <v>20</v>
      </c>
      <c r="I1100" t="s">
        <v>21</v>
      </c>
      <c r="J1100" t="s">
        <v>37</v>
      </c>
      <c r="K1100" s="2">
        <v>49768.41</v>
      </c>
      <c r="L1100" s="4">
        <v>9</v>
      </c>
      <c r="M1100" s="3">
        <v>0.25</v>
      </c>
      <c r="N1100" s="2">
        <v>-1244.21</v>
      </c>
    </row>
    <row r="1101" spans="1:14" x14ac:dyDescent="0.3">
      <c r="A1101" t="s">
        <v>1797</v>
      </c>
      <c r="B1101" s="1">
        <v>45194</v>
      </c>
      <c r="C1101" t="s">
        <v>920</v>
      </c>
      <c r="D1101" t="s">
        <v>50</v>
      </c>
      <c r="E1101" t="s">
        <v>17</v>
      </c>
      <c r="F1101" t="s">
        <v>27</v>
      </c>
      <c r="G1101" t="s">
        <v>28</v>
      </c>
      <c r="H1101" t="s">
        <v>20</v>
      </c>
      <c r="I1101" t="s">
        <v>43</v>
      </c>
      <c r="J1101" t="s">
        <v>30</v>
      </c>
      <c r="K1101" s="2">
        <v>23833.53</v>
      </c>
      <c r="L1101" s="4">
        <v>2</v>
      </c>
      <c r="M1101" s="3">
        <v>0.1</v>
      </c>
      <c r="N1101" s="2">
        <v>1191.68</v>
      </c>
    </row>
    <row r="1102" spans="1:14" x14ac:dyDescent="0.3">
      <c r="A1102" t="s">
        <v>1162</v>
      </c>
      <c r="B1102" s="1">
        <v>45194</v>
      </c>
      <c r="C1102" t="s">
        <v>1163</v>
      </c>
      <c r="D1102" t="s">
        <v>25</v>
      </c>
      <c r="E1102" t="s">
        <v>51</v>
      </c>
      <c r="F1102" t="s">
        <v>34</v>
      </c>
      <c r="G1102" t="s">
        <v>35</v>
      </c>
      <c r="H1102" t="s">
        <v>36</v>
      </c>
      <c r="I1102" t="s">
        <v>21</v>
      </c>
      <c r="J1102" t="s">
        <v>106</v>
      </c>
      <c r="K1102" s="2">
        <v>37230.870000000003</v>
      </c>
      <c r="L1102" s="4">
        <v>2</v>
      </c>
      <c r="M1102" s="3">
        <v>0.16</v>
      </c>
      <c r="N1102" s="2">
        <v>744.62</v>
      </c>
    </row>
    <row r="1103" spans="1:14" x14ac:dyDescent="0.3">
      <c r="A1103" t="s">
        <v>279</v>
      </c>
      <c r="B1103" s="1">
        <v>45195</v>
      </c>
      <c r="C1103" t="s">
        <v>280</v>
      </c>
      <c r="D1103" t="s">
        <v>25</v>
      </c>
      <c r="E1103" t="s">
        <v>51</v>
      </c>
      <c r="F1103" t="s">
        <v>46</v>
      </c>
      <c r="G1103" t="s">
        <v>46</v>
      </c>
      <c r="H1103" t="s">
        <v>47</v>
      </c>
      <c r="I1103" t="s">
        <v>43</v>
      </c>
      <c r="J1103" t="s">
        <v>30</v>
      </c>
      <c r="K1103" s="2">
        <v>28409.86</v>
      </c>
      <c r="L1103" s="4">
        <v>7</v>
      </c>
      <c r="M1103" s="3">
        <v>0.02</v>
      </c>
      <c r="N1103" s="2">
        <v>2556.89</v>
      </c>
    </row>
    <row r="1104" spans="1:14" x14ac:dyDescent="0.3">
      <c r="A1104" t="s">
        <v>935</v>
      </c>
      <c r="B1104" s="1">
        <v>45195</v>
      </c>
      <c r="C1104" t="s">
        <v>936</v>
      </c>
      <c r="D1104" t="s">
        <v>33</v>
      </c>
      <c r="E1104" t="s">
        <v>26</v>
      </c>
      <c r="F1104" t="s">
        <v>27</v>
      </c>
      <c r="G1104" t="s">
        <v>28</v>
      </c>
      <c r="H1104" t="s">
        <v>20</v>
      </c>
      <c r="I1104" t="s">
        <v>43</v>
      </c>
      <c r="J1104" t="s">
        <v>64</v>
      </c>
      <c r="K1104" s="2">
        <v>13476.56</v>
      </c>
      <c r="L1104" s="4">
        <v>5</v>
      </c>
      <c r="M1104" s="3">
        <v>0.15</v>
      </c>
      <c r="N1104" s="2">
        <v>336.91</v>
      </c>
    </row>
    <row r="1105" spans="1:14" x14ac:dyDescent="0.3">
      <c r="A1105" t="s">
        <v>1480</v>
      </c>
      <c r="B1105" s="1">
        <v>45195</v>
      </c>
      <c r="C1105" t="s">
        <v>739</v>
      </c>
      <c r="D1105" t="s">
        <v>33</v>
      </c>
      <c r="E1105" t="s">
        <v>51</v>
      </c>
      <c r="F1105" t="s">
        <v>79</v>
      </c>
      <c r="G1105" t="s">
        <v>80</v>
      </c>
      <c r="H1105" t="s">
        <v>47</v>
      </c>
      <c r="I1105" t="s">
        <v>43</v>
      </c>
      <c r="J1105" t="s">
        <v>58</v>
      </c>
      <c r="K1105" s="2">
        <v>1352.85</v>
      </c>
      <c r="L1105" s="4">
        <v>1</v>
      </c>
      <c r="M1105" s="3">
        <v>0.19</v>
      </c>
      <c r="N1105" s="2">
        <v>6.76</v>
      </c>
    </row>
    <row r="1106" spans="1:14" x14ac:dyDescent="0.3">
      <c r="A1106" t="s">
        <v>1636</v>
      </c>
      <c r="B1106" s="1">
        <v>45195</v>
      </c>
      <c r="C1106" t="s">
        <v>259</v>
      </c>
      <c r="D1106" t="s">
        <v>50</v>
      </c>
      <c r="E1106" t="s">
        <v>17</v>
      </c>
      <c r="F1106" t="s">
        <v>27</v>
      </c>
      <c r="G1106" t="s">
        <v>28</v>
      </c>
      <c r="H1106" t="s">
        <v>20</v>
      </c>
      <c r="I1106" t="s">
        <v>43</v>
      </c>
      <c r="J1106" t="s">
        <v>106</v>
      </c>
      <c r="K1106" s="2">
        <v>18791.95</v>
      </c>
      <c r="L1106" s="4">
        <v>2</v>
      </c>
      <c r="M1106" s="3">
        <v>0.13</v>
      </c>
      <c r="N1106" s="2">
        <v>657.72</v>
      </c>
    </row>
    <row r="1107" spans="1:14" x14ac:dyDescent="0.3">
      <c r="A1107" t="s">
        <v>2214</v>
      </c>
      <c r="B1107" s="1">
        <v>45195</v>
      </c>
      <c r="C1107" t="s">
        <v>371</v>
      </c>
      <c r="D1107" t="s">
        <v>57</v>
      </c>
      <c r="E1107" t="s">
        <v>17</v>
      </c>
      <c r="F1107" t="s">
        <v>79</v>
      </c>
      <c r="G1107" t="s">
        <v>80</v>
      </c>
      <c r="H1107" t="s">
        <v>47</v>
      </c>
      <c r="I1107" t="s">
        <v>21</v>
      </c>
      <c r="J1107" t="s">
        <v>58</v>
      </c>
      <c r="K1107" s="2">
        <v>16929.13</v>
      </c>
      <c r="L1107" s="4">
        <v>1</v>
      </c>
      <c r="M1107" s="3">
        <v>0.3</v>
      </c>
      <c r="N1107" s="2">
        <v>-846.46</v>
      </c>
    </row>
    <row r="1108" spans="1:14" x14ac:dyDescent="0.3">
      <c r="A1108" t="s">
        <v>1637</v>
      </c>
      <c r="B1108" s="1">
        <v>45195</v>
      </c>
      <c r="C1108" t="s">
        <v>1638</v>
      </c>
      <c r="D1108" t="s">
        <v>85</v>
      </c>
      <c r="E1108" t="s">
        <v>26</v>
      </c>
      <c r="F1108" t="s">
        <v>27</v>
      </c>
      <c r="G1108" t="s">
        <v>28</v>
      </c>
      <c r="H1108" t="s">
        <v>20</v>
      </c>
      <c r="I1108" t="s">
        <v>29</v>
      </c>
      <c r="J1108" t="s">
        <v>30</v>
      </c>
      <c r="K1108" s="2">
        <v>5250.88</v>
      </c>
      <c r="L1108" s="4">
        <v>8</v>
      </c>
      <c r="M1108" s="3">
        <v>0.16</v>
      </c>
      <c r="N1108" s="2">
        <v>105.02</v>
      </c>
    </row>
    <row r="1109" spans="1:14" x14ac:dyDescent="0.3">
      <c r="A1109" t="s">
        <v>310</v>
      </c>
      <c r="B1109" s="1">
        <v>45196</v>
      </c>
      <c r="C1109" t="s">
        <v>311</v>
      </c>
      <c r="D1109" t="s">
        <v>16</v>
      </c>
      <c r="E1109" t="s">
        <v>17</v>
      </c>
      <c r="F1109" t="s">
        <v>40</v>
      </c>
      <c r="G1109" t="s">
        <v>41</v>
      </c>
      <c r="H1109" t="s">
        <v>42</v>
      </c>
      <c r="I1109" t="s">
        <v>29</v>
      </c>
      <c r="J1109" t="s">
        <v>30</v>
      </c>
      <c r="K1109" s="2">
        <v>37608.53</v>
      </c>
      <c r="L1109" s="4">
        <v>2</v>
      </c>
      <c r="M1109" s="3">
        <v>0.25</v>
      </c>
      <c r="N1109" s="2">
        <v>-940.21</v>
      </c>
    </row>
    <row r="1110" spans="1:14" x14ac:dyDescent="0.3">
      <c r="A1110" t="s">
        <v>869</v>
      </c>
      <c r="B1110" s="1">
        <v>45196</v>
      </c>
      <c r="C1110" t="s">
        <v>553</v>
      </c>
      <c r="D1110" t="s">
        <v>16</v>
      </c>
      <c r="E1110" t="s">
        <v>51</v>
      </c>
      <c r="F1110" t="s">
        <v>34</v>
      </c>
      <c r="G1110" t="s">
        <v>35</v>
      </c>
      <c r="H1110" t="s">
        <v>36</v>
      </c>
      <c r="I1110" t="s">
        <v>43</v>
      </c>
      <c r="J1110" t="s">
        <v>64</v>
      </c>
      <c r="K1110" s="2">
        <v>41917.54</v>
      </c>
      <c r="L1110" s="4">
        <v>4</v>
      </c>
      <c r="M1110" s="3">
        <v>0.06</v>
      </c>
      <c r="N1110" s="2">
        <v>2934.23</v>
      </c>
    </row>
    <row r="1111" spans="1:14" x14ac:dyDescent="0.3">
      <c r="A1111" t="s">
        <v>1369</v>
      </c>
      <c r="B1111" s="1">
        <v>45196</v>
      </c>
      <c r="C1111" t="s">
        <v>1017</v>
      </c>
      <c r="D1111" t="s">
        <v>16</v>
      </c>
      <c r="E1111" t="s">
        <v>26</v>
      </c>
      <c r="F1111" t="s">
        <v>46</v>
      </c>
      <c r="G1111" t="s">
        <v>46</v>
      </c>
      <c r="H1111" t="s">
        <v>47</v>
      </c>
      <c r="I1111" t="s">
        <v>21</v>
      </c>
      <c r="J1111" t="s">
        <v>106</v>
      </c>
      <c r="K1111" s="2">
        <v>2722.98</v>
      </c>
      <c r="L1111" s="4">
        <v>4</v>
      </c>
      <c r="M1111" s="3">
        <v>0.14000000000000001</v>
      </c>
      <c r="N1111" s="2">
        <v>81.69</v>
      </c>
    </row>
    <row r="1112" spans="1:14" x14ac:dyDescent="0.3">
      <c r="A1112" t="s">
        <v>1972</v>
      </c>
      <c r="B1112" s="1">
        <v>45196</v>
      </c>
      <c r="C1112" t="s">
        <v>1101</v>
      </c>
      <c r="D1112" t="s">
        <v>85</v>
      </c>
      <c r="E1112" t="s">
        <v>17</v>
      </c>
      <c r="F1112" t="s">
        <v>40</v>
      </c>
      <c r="G1112" t="s">
        <v>41</v>
      </c>
      <c r="H1112" t="s">
        <v>42</v>
      </c>
      <c r="I1112" t="s">
        <v>21</v>
      </c>
      <c r="J1112" t="s">
        <v>22</v>
      </c>
      <c r="K1112" s="2">
        <v>18791.990000000002</v>
      </c>
      <c r="L1112" s="4">
        <v>6</v>
      </c>
      <c r="M1112" s="3">
        <v>0.02</v>
      </c>
      <c r="N1112" s="2">
        <v>1691.28</v>
      </c>
    </row>
    <row r="1113" spans="1:14" x14ac:dyDescent="0.3">
      <c r="A1113" t="s">
        <v>1357</v>
      </c>
      <c r="B1113" s="1">
        <v>45197</v>
      </c>
      <c r="C1113" t="s">
        <v>914</v>
      </c>
      <c r="D1113" t="s">
        <v>61</v>
      </c>
      <c r="E1113" t="s">
        <v>26</v>
      </c>
      <c r="F1113" t="s">
        <v>18</v>
      </c>
      <c r="G1113" t="s">
        <v>19</v>
      </c>
      <c r="H1113" t="s">
        <v>20</v>
      </c>
      <c r="I1113" t="s">
        <v>43</v>
      </c>
      <c r="J1113" t="s">
        <v>30</v>
      </c>
      <c r="K1113" s="2">
        <v>1642.35</v>
      </c>
      <c r="L1113" s="4">
        <v>9</v>
      </c>
      <c r="M1113" s="3">
        <v>0.21</v>
      </c>
      <c r="N1113" s="2">
        <v>-8.2100000000000009</v>
      </c>
    </row>
    <row r="1114" spans="1:14" x14ac:dyDescent="0.3">
      <c r="A1114" t="s">
        <v>1917</v>
      </c>
      <c r="B1114" s="1">
        <v>45197</v>
      </c>
      <c r="C1114" t="s">
        <v>1918</v>
      </c>
      <c r="D1114" t="s">
        <v>33</v>
      </c>
      <c r="E1114" t="s">
        <v>26</v>
      </c>
      <c r="F1114" t="s">
        <v>40</v>
      </c>
      <c r="G1114" t="s">
        <v>41</v>
      </c>
      <c r="H1114" t="s">
        <v>42</v>
      </c>
      <c r="I1114" t="s">
        <v>29</v>
      </c>
      <c r="J1114" t="s">
        <v>54</v>
      </c>
      <c r="K1114" s="2">
        <v>46424.6</v>
      </c>
      <c r="L1114" s="4">
        <v>1</v>
      </c>
      <c r="M1114" s="3">
        <v>0.28000000000000003</v>
      </c>
      <c r="N1114" s="2">
        <v>-1856.98</v>
      </c>
    </row>
    <row r="1115" spans="1:14" x14ac:dyDescent="0.3">
      <c r="A1115" t="s">
        <v>2163</v>
      </c>
      <c r="B1115" s="1">
        <v>45197</v>
      </c>
      <c r="C1115" t="s">
        <v>415</v>
      </c>
      <c r="D1115" t="s">
        <v>33</v>
      </c>
      <c r="E1115" t="s">
        <v>17</v>
      </c>
      <c r="F1115" t="s">
        <v>27</v>
      </c>
      <c r="G1115" t="s">
        <v>28</v>
      </c>
      <c r="H1115" t="s">
        <v>20</v>
      </c>
      <c r="I1115" t="s">
        <v>29</v>
      </c>
      <c r="J1115" t="s">
        <v>30</v>
      </c>
      <c r="K1115" s="2">
        <v>13938.41</v>
      </c>
      <c r="L1115" s="4">
        <v>8</v>
      </c>
      <c r="M1115" s="3">
        <v>0.09</v>
      </c>
      <c r="N1115" s="2">
        <v>766.61</v>
      </c>
    </row>
    <row r="1116" spans="1:14" x14ac:dyDescent="0.3">
      <c r="A1116" t="s">
        <v>554</v>
      </c>
      <c r="B1116" s="1">
        <v>45197</v>
      </c>
      <c r="C1116" t="s">
        <v>512</v>
      </c>
      <c r="D1116" t="s">
        <v>25</v>
      </c>
      <c r="E1116" t="s">
        <v>51</v>
      </c>
      <c r="F1116" t="s">
        <v>79</v>
      </c>
      <c r="G1116" t="s">
        <v>80</v>
      </c>
      <c r="H1116" t="s">
        <v>47</v>
      </c>
      <c r="I1116" t="s">
        <v>43</v>
      </c>
      <c r="J1116" t="s">
        <v>37</v>
      </c>
      <c r="K1116" s="2">
        <v>6233.83</v>
      </c>
      <c r="L1116" s="4">
        <v>6</v>
      </c>
      <c r="M1116" s="3">
        <v>0.28999999999999998</v>
      </c>
      <c r="N1116" s="2">
        <v>-280.52</v>
      </c>
    </row>
    <row r="1117" spans="1:14" x14ac:dyDescent="0.3">
      <c r="A1117" t="s">
        <v>625</v>
      </c>
      <c r="B1117" s="1">
        <v>45198</v>
      </c>
      <c r="C1117" t="s">
        <v>620</v>
      </c>
      <c r="D1117" t="s">
        <v>61</v>
      </c>
      <c r="E1117" t="s">
        <v>17</v>
      </c>
      <c r="F1117" t="s">
        <v>27</v>
      </c>
      <c r="G1117" t="s">
        <v>28</v>
      </c>
      <c r="H1117" t="s">
        <v>20</v>
      </c>
      <c r="I1117" t="s">
        <v>29</v>
      </c>
      <c r="J1117" t="s">
        <v>58</v>
      </c>
      <c r="K1117" s="2">
        <v>2116.92</v>
      </c>
      <c r="L1117" s="4">
        <v>8</v>
      </c>
      <c r="M1117" s="3">
        <v>0.12</v>
      </c>
      <c r="N1117" s="2">
        <v>84.68</v>
      </c>
    </row>
    <row r="1118" spans="1:14" x14ac:dyDescent="0.3">
      <c r="A1118" t="s">
        <v>1043</v>
      </c>
      <c r="B1118" s="1">
        <v>45198</v>
      </c>
      <c r="C1118" t="s">
        <v>842</v>
      </c>
      <c r="D1118" t="s">
        <v>33</v>
      </c>
      <c r="E1118" t="s">
        <v>17</v>
      </c>
      <c r="F1118" t="s">
        <v>79</v>
      </c>
      <c r="G1118" t="s">
        <v>80</v>
      </c>
      <c r="H1118" t="s">
        <v>47</v>
      </c>
      <c r="I1118" t="s">
        <v>43</v>
      </c>
      <c r="J1118" t="s">
        <v>30</v>
      </c>
      <c r="K1118" s="2">
        <v>40845.199999999997</v>
      </c>
      <c r="L1118" s="4">
        <v>8</v>
      </c>
      <c r="M1118" s="3">
        <v>0.26</v>
      </c>
      <c r="N1118" s="2">
        <v>-1225.3599999999999</v>
      </c>
    </row>
    <row r="1119" spans="1:14" x14ac:dyDescent="0.3">
      <c r="A1119" t="s">
        <v>1573</v>
      </c>
      <c r="B1119" s="1">
        <v>45198</v>
      </c>
      <c r="C1119" t="s">
        <v>1574</v>
      </c>
      <c r="D1119" t="s">
        <v>57</v>
      </c>
      <c r="E1119" t="s">
        <v>17</v>
      </c>
      <c r="F1119" t="s">
        <v>34</v>
      </c>
      <c r="G1119" t="s">
        <v>35</v>
      </c>
      <c r="H1119" t="s">
        <v>36</v>
      </c>
      <c r="I1119" t="s">
        <v>21</v>
      </c>
      <c r="J1119" t="s">
        <v>58</v>
      </c>
      <c r="K1119" s="2">
        <v>42357.84</v>
      </c>
      <c r="L1119" s="4">
        <v>2</v>
      </c>
      <c r="M1119" s="3">
        <v>0.28999999999999998</v>
      </c>
      <c r="N1119" s="2">
        <v>-1906.1</v>
      </c>
    </row>
    <row r="1120" spans="1:14" x14ac:dyDescent="0.3">
      <c r="A1120" t="s">
        <v>1844</v>
      </c>
      <c r="B1120" s="1">
        <v>45198</v>
      </c>
      <c r="C1120" t="s">
        <v>284</v>
      </c>
      <c r="D1120" t="s">
        <v>57</v>
      </c>
      <c r="E1120" t="s">
        <v>26</v>
      </c>
      <c r="F1120" t="s">
        <v>79</v>
      </c>
      <c r="G1120" t="s">
        <v>80</v>
      </c>
      <c r="H1120" t="s">
        <v>47</v>
      </c>
      <c r="I1120" t="s">
        <v>29</v>
      </c>
      <c r="J1120" t="s">
        <v>37</v>
      </c>
      <c r="K1120" s="2">
        <v>36415.65</v>
      </c>
      <c r="L1120" s="4">
        <v>6</v>
      </c>
      <c r="M1120" s="3">
        <v>0.05</v>
      </c>
      <c r="N1120" s="2">
        <v>2731.17</v>
      </c>
    </row>
    <row r="1121" spans="1:14" x14ac:dyDescent="0.3">
      <c r="A1121" t="s">
        <v>1851</v>
      </c>
      <c r="B1121" s="1">
        <v>45198</v>
      </c>
      <c r="C1121" t="s">
        <v>678</v>
      </c>
      <c r="D1121" t="s">
        <v>16</v>
      </c>
      <c r="E1121" t="s">
        <v>26</v>
      </c>
      <c r="F1121" t="s">
        <v>40</v>
      </c>
      <c r="G1121" t="s">
        <v>41</v>
      </c>
      <c r="H1121" t="s">
        <v>42</v>
      </c>
      <c r="I1121" t="s">
        <v>29</v>
      </c>
      <c r="J1121" t="s">
        <v>106</v>
      </c>
      <c r="K1121" s="2">
        <v>27366.44</v>
      </c>
      <c r="L1121" s="4">
        <v>10</v>
      </c>
      <c r="M1121" s="3">
        <v>0.28999999999999998</v>
      </c>
      <c r="N1121" s="2">
        <v>-1231.49</v>
      </c>
    </row>
    <row r="1122" spans="1:14" x14ac:dyDescent="0.3">
      <c r="A1122" t="s">
        <v>163</v>
      </c>
      <c r="B1122" s="1">
        <v>45200</v>
      </c>
      <c r="C1122" t="s">
        <v>164</v>
      </c>
      <c r="D1122" t="s">
        <v>25</v>
      </c>
      <c r="E1122" t="s">
        <v>51</v>
      </c>
      <c r="F1122" t="s">
        <v>79</v>
      </c>
      <c r="G1122" t="s">
        <v>80</v>
      </c>
      <c r="H1122" t="s">
        <v>47</v>
      </c>
      <c r="I1122" t="s">
        <v>29</v>
      </c>
      <c r="J1122" t="s">
        <v>30</v>
      </c>
      <c r="K1122" s="2">
        <v>41045.440000000002</v>
      </c>
      <c r="L1122" s="4">
        <v>4</v>
      </c>
      <c r="M1122" s="3">
        <v>0.26</v>
      </c>
      <c r="N1122" s="2">
        <v>-1231.3599999999999</v>
      </c>
    </row>
    <row r="1123" spans="1:14" x14ac:dyDescent="0.3">
      <c r="A1123" t="s">
        <v>1895</v>
      </c>
      <c r="B1123" s="1">
        <v>45200</v>
      </c>
      <c r="C1123" t="s">
        <v>1896</v>
      </c>
      <c r="D1123" t="s">
        <v>33</v>
      </c>
      <c r="E1123" t="s">
        <v>26</v>
      </c>
      <c r="F1123" t="s">
        <v>40</v>
      </c>
      <c r="G1123" t="s">
        <v>41</v>
      </c>
      <c r="H1123" t="s">
        <v>42</v>
      </c>
      <c r="I1123" t="s">
        <v>29</v>
      </c>
      <c r="J1123" t="s">
        <v>54</v>
      </c>
      <c r="K1123" s="2">
        <v>11788.33</v>
      </c>
      <c r="L1123" s="4">
        <v>3</v>
      </c>
      <c r="M1123" s="3">
        <v>0.25</v>
      </c>
      <c r="N1123" s="2">
        <v>-294.70999999999998</v>
      </c>
    </row>
    <row r="1124" spans="1:14" x14ac:dyDescent="0.3">
      <c r="A1124" t="s">
        <v>1994</v>
      </c>
      <c r="B1124" s="1">
        <v>45200</v>
      </c>
      <c r="C1124" t="s">
        <v>959</v>
      </c>
      <c r="D1124" t="s">
        <v>50</v>
      </c>
      <c r="E1124" t="s">
        <v>51</v>
      </c>
      <c r="F1124" t="s">
        <v>18</v>
      </c>
      <c r="G1124" t="s">
        <v>19</v>
      </c>
      <c r="H1124" t="s">
        <v>20</v>
      </c>
      <c r="I1124" t="s">
        <v>29</v>
      </c>
      <c r="J1124" t="s">
        <v>37</v>
      </c>
      <c r="K1124" s="2">
        <v>14052.16</v>
      </c>
      <c r="L1124" s="4">
        <v>2</v>
      </c>
      <c r="M1124" s="3">
        <v>0.27</v>
      </c>
      <c r="N1124" s="2">
        <v>-491.83</v>
      </c>
    </row>
    <row r="1125" spans="1:14" x14ac:dyDescent="0.3">
      <c r="A1125" t="s">
        <v>764</v>
      </c>
      <c r="B1125" s="1">
        <v>45201</v>
      </c>
      <c r="C1125" t="s">
        <v>765</v>
      </c>
      <c r="D1125" t="s">
        <v>61</v>
      </c>
      <c r="E1125" t="s">
        <v>26</v>
      </c>
      <c r="F1125" t="s">
        <v>79</v>
      </c>
      <c r="G1125" t="s">
        <v>80</v>
      </c>
      <c r="H1125" t="s">
        <v>47</v>
      </c>
      <c r="I1125" t="s">
        <v>29</v>
      </c>
      <c r="J1125" t="s">
        <v>58</v>
      </c>
      <c r="K1125" s="2">
        <v>6590.49</v>
      </c>
      <c r="L1125" s="4">
        <v>8</v>
      </c>
      <c r="M1125" s="3">
        <v>0.1</v>
      </c>
      <c r="N1125" s="2">
        <v>329.52</v>
      </c>
    </row>
    <row r="1126" spans="1:14" x14ac:dyDescent="0.3">
      <c r="A1126" t="s">
        <v>254</v>
      </c>
      <c r="B1126" s="1">
        <v>45201</v>
      </c>
      <c r="C1126" t="s">
        <v>255</v>
      </c>
      <c r="D1126" t="s">
        <v>61</v>
      </c>
      <c r="E1126" t="s">
        <v>51</v>
      </c>
      <c r="F1126" t="s">
        <v>40</v>
      </c>
      <c r="G1126" t="s">
        <v>41</v>
      </c>
      <c r="H1126" t="s">
        <v>42</v>
      </c>
      <c r="I1126" t="s">
        <v>43</v>
      </c>
      <c r="J1126" t="s">
        <v>22</v>
      </c>
      <c r="K1126" s="2">
        <v>15486.54</v>
      </c>
      <c r="L1126" s="4">
        <v>8</v>
      </c>
      <c r="M1126" s="3">
        <v>0.13</v>
      </c>
      <c r="N1126" s="2">
        <v>542.03</v>
      </c>
    </row>
    <row r="1127" spans="1:14" x14ac:dyDescent="0.3">
      <c r="A1127" t="s">
        <v>1218</v>
      </c>
      <c r="B1127" s="1">
        <v>45201</v>
      </c>
      <c r="C1127" t="s">
        <v>1219</v>
      </c>
      <c r="D1127" t="s">
        <v>50</v>
      </c>
      <c r="E1127" t="s">
        <v>51</v>
      </c>
      <c r="F1127" t="s">
        <v>18</v>
      </c>
      <c r="G1127" t="s">
        <v>19</v>
      </c>
      <c r="H1127" t="s">
        <v>20</v>
      </c>
      <c r="I1127" t="s">
        <v>29</v>
      </c>
      <c r="J1127" t="s">
        <v>64</v>
      </c>
      <c r="K1127" s="2">
        <v>17098.36</v>
      </c>
      <c r="L1127" s="4">
        <v>5</v>
      </c>
      <c r="M1127" s="3">
        <v>0.2</v>
      </c>
      <c r="N1127" s="2">
        <v>0</v>
      </c>
    </row>
    <row r="1128" spans="1:14" x14ac:dyDescent="0.3">
      <c r="A1128" t="s">
        <v>1416</v>
      </c>
      <c r="B1128" s="1">
        <v>45201</v>
      </c>
      <c r="C1128" t="s">
        <v>924</v>
      </c>
      <c r="D1128" t="s">
        <v>16</v>
      </c>
      <c r="E1128" t="s">
        <v>26</v>
      </c>
      <c r="F1128" t="s">
        <v>27</v>
      </c>
      <c r="G1128" t="s">
        <v>28</v>
      </c>
      <c r="H1128" t="s">
        <v>20</v>
      </c>
      <c r="I1128" t="s">
        <v>29</v>
      </c>
      <c r="J1128" t="s">
        <v>30</v>
      </c>
      <c r="K1128" s="2">
        <v>12380.77</v>
      </c>
      <c r="L1128" s="4">
        <v>6</v>
      </c>
      <c r="M1128" s="3">
        <v>0.03</v>
      </c>
      <c r="N1128" s="2">
        <v>1052.3699999999999</v>
      </c>
    </row>
    <row r="1129" spans="1:14" x14ac:dyDescent="0.3">
      <c r="A1129" t="s">
        <v>751</v>
      </c>
      <c r="B1129" s="1">
        <v>45202</v>
      </c>
      <c r="C1129" t="s">
        <v>604</v>
      </c>
      <c r="D1129" t="s">
        <v>16</v>
      </c>
      <c r="E1129" t="s">
        <v>51</v>
      </c>
      <c r="F1129" t="s">
        <v>40</v>
      </c>
      <c r="G1129" t="s">
        <v>41</v>
      </c>
      <c r="H1129" t="s">
        <v>42</v>
      </c>
      <c r="I1129" t="s">
        <v>21</v>
      </c>
      <c r="J1129" t="s">
        <v>22</v>
      </c>
      <c r="K1129" s="2">
        <v>18395.509999999998</v>
      </c>
      <c r="L1129" s="4">
        <v>1</v>
      </c>
      <c r="M1129" s="3">
        <v>0.03</v>
      </c>
      <c r="N1129" s="2">
        <v>1563.62</v>
      </c>
    </row>
    <row r="1130" spans="1:14" x14ac:dyDescent="0.3">
      <c r="A1130" t="s">
        <v>1927</v>
      </c>
      <c r="B1130" s="1">
        <v>45202</v>
      </c>
      <c r="C1130" t="s">
        <v>1928</v>
      </c>
      <c r="D1130" t="s">
        <v>61</v>
      </c>
      <c r="E1130" t="s">
        <v>26</v>
      </c>
      <c r="F1130" t="s">
        <v>79</v>
      </c>
      <c r="G1130" t="s">
        <v>80</v>
      </c>
      <c r="H1130" t="s">
        <v>47</v>
      </c>
      <c r="I1130" t="s">
        <v>21</v>
      </c>
      <c r="J1130" t="s">
        <v>106</v>
      </c>
      <c r="K1130" s="2">
        <v>16734.740000000002</v>
      </c>
      <c r="L1130" s="4">
        <v>4</v>
      </c>
      <c r="M1130" s="3">
        <v>0.23</v>
      </c>
      <c r="N1130" s="2">
        <v>-251.02</v>
      </c>
    </row>
    <row r="1131" spans="1:14" x14ac:dyDescent="0.3">
      <c r="A1131" t="s">
        <v>983</v>
      </c>
      <c r="B1131" s="1">
        <v>45202</v>
      </c>
      <c r="C1131" t="s">
        <v>984</v>
      </c>
      <c r="D1131" t="s">
        <v>25</v>
      </c>
      <c r="E1131" t="s">
        <v>26</v>
      </c>
      <c r="F1131" t="s">
        <v>79</v>
      </c>
      <c r="G1131" t="s">
        <v>80</v>
      </c>
      <c r="H1131" t="s">
        <v>47</v>
      </c>
      <c r="I1131" t="s">
        <v>21</v>
      </c>
      <c r="J1131" t="s">
        <v>30</v>
      </c>
      <c r="K1131" s="2">
        <v>12930.83</v>
      </c>
      <c r="L1131" s="4">
        <v>9</v>
      </c>
      <c r="M1131" s="3">
        <v>0.05</v>
      </c>
      <c r="N1131" s="2">
        <v>969.81</v>
      </c>
    </row>
    <row r="1132" spans="1:14" x14ac:dyDescent="0.3">
      <c r="A1132" t="s">
        <v>1929</v>
      </c>
      <c r="B1132" s="1">
        <v>45202</v>
      </c>
      <c r="C1132" t="s">
        <v>517</v>
      </c>
      <c r="D1132" t="s">
        <v>85</v>
      </c>
      <c r="E1132" t="s">
        <v>26</v>
      </c>
      <c r="F1132" t="s">
        <v>34</v>
      </c>
      <c r="G1132" t="s">
        <v>35</v>
      </c>
      <c r="H1132" t="s">
        <v>36</v>
      </c>
      <c r="I1132" t="s">
        <v>21</v>
      </c>
      <c r="J1132" t="s">
        <v>30</v>
      </c>
      <c r="K1132" s="2">
        <v>24995.25</v>
      </c>
      <c r="L1132" s="4">
        <v>6</v>
      </c>
      <c r="M1132" s="3">
        <v>0.25</v>
      </c>
      <c r="N1132" s="2">
        <v>-624.88</v>
      </c>
    </row>
    <row r="1133" spans="1:14" x14ac:dyDescent="0.3">
      <c r="A1133" t="s">
        <v>800</v>
      </c>
      <c r="B1133" s="1">
        <v>45203</v>
      </c>
      <c r="C1133" t="s">
        <v>801</v>
      </c>
      <c r="D1133" t="s">
        <v>50</v>
      </c>
      <c r="E1133" t="s">
        <v>26</v>
      </c>
      <c r="F1133" t="s">
        <v>40</v>
      </c>
      <c r="G1133" t="s">
        <v>41</v>
      </c>
      <c r="H1133" t="s">
        <v>42</v>
      </c>
      <c r="I1133" t="s">
        <v>29</v>
      </c>
      <c r="J1133" t="s">
        <v>106</v>
      </c>
      <c r="K1133" s="2">
        <v>17204.990000000002</v>
      </c>
      <c r="L1133" s="4">
        <v>9</v>
      </c>
      <c r="M1133" s="3">
        <v>0.28000000000000003</v>
      </c>
      <c r="N1133" s="2">
        <v>-688.2</v>
      </c>
    </row>
    <row r="1134" spans="1:14" x14ac:dyDescent="0.3">
      <c r="A1134" t="s">
        <v>915</v>
      </c>
      <c r="B1134" s="1">
        <v>45203</v>
      </c>
      <c r="C1134" t="s">
        <v>510</v>
      </c>
      <c r="D1134" t="s">
        <v>16</v>
      </c>
      <c r="E1134" t="s">
        <v>51</v>
      </c>
      <c r="F1134" t="s">
        <v>79</v>
      </c>
      <c r="G1134" t="s">
        <v>80</v>
      </c>
      <c r="H1134" t="s">
        <v>47</v>
      </c>
      <c r="I1134" t="s">
        <v>43</v>
      </c>
      <c r="J1134" t="s">
        <v>106</v>
      </c>
      <c r="K1134" s="2">
        <v>33909.78</v>
      </c>
      <c r="L1134" s="4">
        <v>3</v>
      </c>
      <c r="M1134" s="3">
        <v>0.15</v>
      </c>
      <c r="N1134" s="2">
        <v>847.74</v>
      </c>
    </row>
    <row r="1135" spans="1:14" x14ac:dyDescent="0.3">
      <c r="A1135" t="s">
        <v>1228</v>
      </c>
      <c r="B1135" s="1">
        <v>45203</v>
      </c>
      <c r="C1135" t="s">
        <v>1229</v>
      </c>
      <c r="D1135" t="s">
        <v>25</v>
      </c>
      <c r="E1135" t="s">
        <v>51</v>
      </c>
      <c r="F1135" t="s">
        <v>46</v>
      </c>
      <c r="G1135" t="s">
        <v>46</v>
      </c>
      <c r="H1135" t="s">
        <v>47</v>
      </c>
      <c r="I1135" t="s">
        <v>43</v>
      </c>
      <c r="J1135" t="s">
        <v>22</v>
      </c>
      <c r="K1135" s="2">
        <v>6094.57</v>
      </c>
      <c r="L1135" s="4">
        <v>7</v>
      </c>
      <c r="M1135" s="3">
        <v>0.14000000000000001</v>
      </c>
      <c r="N1135" s="2">
        <v>182.84</v>
      </c>
    </row>
    <row r="1136" spans="1:14" x14ac:dyDescent="0.3">
      <c r="A1136" t="s">
        <v>1263</v>
      </c>
      <c r="B1136" s="1">
        <v>45203</v>
      </c>
      <c r="C1136" t="s">
        <v>1237</v>
      </c>
      <c r="D1136" t="s">
        <v>61</v>
      </c>
      <c r="E1136" t="s">
        <v>26</v>
      </c>
      <c r="F1136" t="s">
        <v>40</v>
      </c>
      <c r="G1136" t="s">
        <v>41</v>
      </c>
      <c r="H1136" t="s">
        <v>42</v>
      </c>
      <c r="I1136" t="s">
        <v>21</v>
      </c>
      <c r="J1136" t="s">
        <v>22</v>
      </c>
      <c r="K1136" s="2">
        <v>9315.2800000000007</v>
      </c>
      <c r="L1136" s="4">
        <v>10</v>
      </c>
      <c r="M1136" s="3">
        <v>0.15</v>
      </c>
      <c r="N1136" s="2">
        <v>232.88</v>
      </c>
    </row>
    <row r="1137" spans="1:14" x14ac:dyDescent="0.3">
      <c r="A1137" t="s">
        <v>345</v>
      </c>
      <c r="B1137" s="1">
        <v>45203</v>
      </c>
      <c r="C1137" t="s">
        <v>346</v>
      </c>
      <c r="D1137" t="s">
        <v>33</v>
      </c>
      <c r="E1137" t="s">
        <v>51</v>
      </c>
      <c r="F1137" t="s">
        <v>40</v>
      </c>
      <c r="G1137" t="s">
        <v>41</v>
      </c>
      <c r="H1137" t="s">
        <v>42</v>
      </c>
      <c r="I1137" t="s">
        <v>29</v>
      </c>
      <c r="J1137" t="s">
        <v>64</v>
      </c>
      <c r="K1137" s="2">
        <v>17978.25</v>
      </c>
      <c r="L1137" s="4">
        <v>10</v>
      </c>
      <c r="M1137" s="3">
        <v>0.06</v>
      </c>
      <c r="N1137" s="2">
        <v>1258.48</v>
      </c>
    </row>
    <row r="1138" spans="1:14" x14ac:dyDescent="0.3">
      <c r="A1138" t="s">
        <v>104</v>
      </c>
      <c r="B1138" s="1">
        <v>45204</v>
      </c>
      <c r="C1138" t="s">
        <v>105</v>
      </c>
      <c r="D1138" t="s">
        <v>16</v>
      </c>
      <c r="E1138" t="s">
        <v>51</v>
      </c>
      <c r="F1138" t="s">
        <v>34</v>
      </c>
      <c r="G1138" t="s">
        <v>35</v>
      </c>
      <c r="H1138" t="s">
        <v>36</v>
      </c>
      <c r="I1138" t="s">
        <v>21</v>
      </c>
      <c r="J1138" t="s">
        <v>106</v>
      </c>
      <c r="K1138" s="2">
        <v>14926.66</v>
      </c>
      <c r="L1138" s="4">
        <v>4</v>
      </c>
      <c r="M1138" s="3">
        <v>0.05</v>
      </c>
      <c r="N1138" s="2">
        <v>1119.5</v>
      </c>
    </row>
    <row r="1139" spans="1:14" x14ac:dyDescent="0.3">
      <c r="A1139" t="s">
        <v>1172</v>
      </c>
      <c r="B1139" s="1">
        <v>45204</v>
      </c>
      <c r="C1139" t="s">
        <v>423</v>
      </c>
      <c r="D1139" t="s">
        <v>25</v>
      </c>
      <c r="E1139" t="s">
        <v>51</v>
      </c>
      <c r="F1139" t="s">
        <v>40</v>
      </c>
      <c r="G1139" t="s">
        <v>41</v>
      </c>
      <c r="H1139" t="s">
        <v>42</v>
      </c>
      <c r="I1139" t="s">
        <v>29</v>
      </c>
      <c r="J1139" t="s">
        <v>22</v>
      </c>
      <c r="K1139" s="2">
        <v>46635.57</v>
      </c>
      <c r="L1139" s="4">
        <v>7</v>
      </c>
      <c r="M1139" s="3">
        <v>0.26</v>
      </c>
      <c r="N1139" s="2">
        <v>-1399.07</v>
      </c>
    </row>
    <row r="1140" spans="1:14" x14ac:dyDescent="0.3">
      <c r="A1140" t="s">
        <v>181</v>
      </c>
      <c r="B1140" s="1">
        <v>45204</v>
      </c>
      <c r="C1140" t="s">
        <v>182</v>
      </c>
      <c r="D1140" t="s">
        <v>50</v>
      </c>
      <c r="E1140" t="s">
        <v>51</v>
      </c>
      <c r="F1140" t="s">
        <v>18</v>
      </c>
      <c r="G1140" t="s">
        <v>19</v>
      </c>
      <c r="H1140" t="s">
        <v>20</v>
      </c>
      <c r="I1140" t="s">
        <v>21</v>
      </c>
      <c r="J1140" t="s">
        <v>30</v>
      </c>
      <c r="K1140" s="2">
        <v>13857.85</v>
      </c>
      <c r="L1140" s="4">
        <v>6</v>
      </c>
      <c r="M1140" s="3">
        <v>0.12</v>
      </c>
      <c r="N1140" s="2">
        <v>554.30999999999995</v>
      </c>
    </row>
    <row r="1141" spans="1:14" x14ac:dyDescent="0.3">
      <c r="A1141" t="s">
        <v>941</v>
      </c>
      <c r="B1141" s="1">
        <v>45204</v>
      </c>
      <c r="C1141" t="s">
        <v>928</v>
      </c>
      <c r="D1141" t="s">
        <v>57</v>
      </c>
      <c r="E1141" t="s">
        <v>26</v>
      </c>
      <c r="F1141" t="s">
        <v>46</v>
      </c>
      <c r="G1141" t="s">
        <v>46</v>
      </c>
      <c r="H1141" t="s">
        <v>47</v>
      </c>
      <c r="I1141" t="s">
        <v>29</v>
      </c>
      <c r="J1141" t="s">
        <v>22</v>
      </c>
      <c r="K1141" s="2">
        <v>23357.71</v>
      </c>
      <c r="L1141" s="4">
        <v>6</v>
      </c>
      <c r="M1141" s="3">
        <v>0.23</v>
      </c>
      <c r="N1141" s="2">
        <v>-350.37</v>
      </c>
    </row>
    <row r="1142" spans="1:14" x14ac:dyDescent="0.3">
      <c r="A1142" t="s">
        <v>232</v>
      </c>
      <c r="B1142" s="1">
        <v>45205</v>
      </c>
      <c r="C1142" t="s">
        <v>233</v>
      </c>
      <c r="D1142" t="s">
        <v>33</v>
      </c>
      <c r="E1142" t="s">
        <v>26</v>
      </c>
      <c r="F1142" t="s">
        <v>34</v>
      </c>
      <c r="G1142" t="s">
        <v>35</v>
      </c>
      <c r="H1142" t="s">
        <v>36</v>
      </c>
      <c r="I1142" t="s">
        <v>21</v>
      </c>
      <c r="J1142" t="s">
        <v>64</v>
      </c>
      <c r="K1142" s="2">
        <v>4714.78</v>
      </c>
      <c r="L1142" s="4">
        <v>7</v>
      </c>
      <c r="M1142" s="3">
        <v>0.02</v>
      </c>
      <c r="N1142" s="2">
        <v>424.33</v>
      </c>
    </row>
    <row r="1143" spans="1:14" x14ac:dyDescent="0.3">
      <c r="A1143" t="s">
        <v>781</v>
      </c>
      <c r="B1143" s="1">
        <v>45205</v>
      </c>
      <c r="C1143" t="s">
        <v>782</v>
      </c>
      <c r="D1143" t="s">
        <v>85</v>
      </c>
      <c r="E1143" t="s">
        <v>26</v>
      </c>
      <c r="F1143" t="s">
        <v>79</v>
      </c>
      <c r="G1143" t="s">
        <v>80</v>
      </c>
      <c r="H1143" t="s">
        <v>47</v>
      </c>
      <c r="I1143" t="s">
        <v>29</v>
      </c>
      <c r="J1143" t="s">
        <v>37</v>
      </c>
      <c r="K1143" s="2">
        <v>26841.58</v>
      </c>
      <c r="L1143" s="4">
        <v>8</v>
      </c>
      <c r="M1143" s="3">
        <v>0.13</v>
      </c>
      <c r="N1143" s="2">
        <v>939.46</v>
      </c>
    </row>
    <row r="1144" spans="1:14" x14ac:dyDescent="0.3">
      <c r="A1144" t="s">
        <v>806</v>
      </c>
      <c r="B1144" s="1">
        <v>45205</v>
      </c>
      <c r="C1144" t="s">
        <v>550</v>
      </c>
      <c r="D1144" t="s">
        <v>85</v>
      </c>
      <c r="E1144" t="s">
        <v>51</v>
      </c>
      <c r="F1144" t="s">
        <v>18</v>
      </c>
      <c r="G1144" t="s">
        <v>19</v>
      </c>
      <c r="H1144" t="s">
        <v>20</v>
      </c>
      <c r="I1144" t="s">
        <v>43</v>
      </c>
      <c r="J1144" t="s">
        <v>22</v>
      </c>
      <c r="K1144" s="2">
        <v>29677.14</v>
      </c>
      <c r="L1144" s="4">
        <v>8</v>
      </c>
      <c r="M1144" s="3">
        <v>0.05</v>
      </c>
      <c r="N1144" s="2">
        <v>2225.79</v>
      </c>
    </row>
    <row r="1145" spans="1:14" x14ac:dyDescent="0.3">
      <c r="A1145" t="s">
        <v>457</v>
      </c>
      <c r="B1145" s="1">
        <v>45206</v>
      </c>
      <c r="C1145" t="s">
        <v>458</v>
      </c>
      <c r="D1145" t="s">
        <v>33</v>
      </c>
      <c r="E1145" t="s">
        <v>51</v>
      </c>
      <c r="F1145" t="s">
        <v>18</v>
      </c>
      <c r="G1145" t="s">
        <v>19</v>
      </c>
      <c r="H1145" t="s">
        <v>20</v>
      </c>
      <c r="I1145" t="s">
        <v>43</v>
      </c>
      <c r="J1145" t="s">
        <v>106</v>
      </c>
      <c r="K1145" s="2">
        <v>19520.63</v>
      </c>
      <c r="L1145" s="4">
        <v>6</v>
      </c>
      <c r="M1145" s="3">
        <v>0.27</v>
      </c>
      <c r="N1145" s="2">
        <v>-683.22</v>
      </c>
    </row>
    <row r="1146" spans="1:14" x14ac:dyDescent="0.3">
      <c r="A1146" t="s">
        <v>1337</v>
      </c>
      <c r="B1146" s="1">
        <v>45206</v>
      </c>
      <c r="C1146" t="s">
        <v>997</v>
      </c>
      <c r="D1146" t="s">
        <v>33</v>
      </c>
      <c r="E1146" t="s">
        <v>51</v>
      </c>
      <c r="F1146" t="s">
        <v>79</v>
      </c>
      <c r="G1146" t="s">
        <v>80</v>
      </c>
      <c r="H1146" t="s">
        <v>47</v>
      </c>
      <c r="I1146" t="s">
        <v>29</v>
      </c>
      <c r="J1146" t="s">
        <v>37</v>
      </c>
      <c r="K1146" s="2">
        <v>20138.5</v>
      </c>
      <c r="L1146" s="4">
        <v>1</v>
      </c>
      <c r="M1146" s="3">
        <v>0.2</v>
      </c>
      <c r="N1146" s="2">
        <v>0</v>
      </c>
    </row>
    <row r="1147" spans="1:14" x14ac:dyDescent="0.3">
      <c r="A1147" t="s">
        <v>1024</v>
      </c>
      <c r="B1147" s="1">
        <v>45206</v>
      </c>
      <c r="C1147" t="s">
        <v>912</v>
      </c>
      <c r="D1147" t="s">
        <v>16</v>
      </c>
      <c r="E1147" t="s">
        <v>26</v>
      </c>
      <c r="F1147" t="s">
        <v>18</v>
      </c>
      <c r="G1147" t="s">
        <v>19</v>
      </c>
      <c r="H1147" t="s">
        <v>20</v>
      </c>
      <c r="I1147" t="s">
        <v>21</v>
      </c>
      <c r="J1147" t="s">
        <v>58</v>
      </c>
      <c r="K1147" s="2">
        <v>18510.5</v>
      </c>
      <c r="L1147" s="4">
        <v>7</v>
      </c>
      <c r="M1147" s="3">
        <v>0.21</v>
      </c>
      <c r="N1147" s="2">
        <v>-92.55</v>
      </c>
    </row>
    <row r="1148" spans="1:14" x14ac:dyDescent="0.3">
      <c r="A1148" t="s">
        <v>2161</v>
      </c>
      <c r="B1148" s="1">
        <v>45206</v>
      </c>
      <c r="C1148" t="s">
        <v>1301</v>
      </c>
      <c r="D1148" t="s">
        <v>57</v>
      </c>
      <c r="E1148" t="s">
        <v>51</v>
      </c>
      <c r="F1148" t="s">
        <v>46</v>
      </c>
      <c r="G1148" t="s">
        <v>46</v>
      </c>
      <c r="H1148" t="s">
        <v>47</v>
      </c>
      <c r="I1148" t="s">
        <v>21</v>
      </c>
      <c r="J1148" t="s">
        <v>106</v>
      </c>
      <c r="K1148" s="2">
        <v>17628.689999999999</v>
      </c>
      <c r="L1148" s="4">
        <v>9</v>
      </c>
      <c r="M1148" s="3">
        <v>0.24</v>
      </c>
      <c r="N1148" s="2">
        <v>-352.57</v>
      </c>
    </row>
    <row r="1149" spans="1:14" x14ac:dyDescent="0.3">
      <c r="A1149" t="s">
        <v>2091</v>
      </c>
      <c r="B1149" s="1">
        <v>45207</v>
      </c>
      <c r="C1149" t="s">
        <v>2092</v>
      </c>
      <c r="D1149" t="s">
        <v>61</v>
      </c>
      <c r="E1149" t="s">
        <v>17</v>
      </c>
      <c r="F1149" t="s">
        <v>40</v>
      </c>
      <c r="G1149" t="s">
        <v>41</v>
      </c>
      <c r="H1149" t="s">
        <v>42</v>
      </c>
      <c r="I1149" t="s">
        <v>29</v>
      </c>
      <c r="J1149" t="s">
        <v>54</v>
      </c>
      <c r="K1149" s="2">
        <v>20911.98</v>
      </c>
      <c r="L1149" s="4">
        <v>3</v>
      </c>
      <c r="M1149" s="3">
        <v>0.09</v>
      </c>
      <c r="N1149" s="2">
        <v>1150.1600000000001</v>
      </c>
    </row>
    <row r="1150" spans="1:14" x14ac:dyDescent="0.3">
      <c r="A1150" t="s">
        <v>1355</v>
      </c>
      <c r="B1150" s="1">
        <v>45208</v>
      </c>
      <c r="C1150" t="s">
        <v>1356</v>
      </c>
      <c r="D1150" t="s">
        <v>25</v>
      </c>
      <c r="E1150" t="s">
        <v>51</v>
      </c>
      <c r="F1150" t="s">
        <v>79</v>
      </c>
      <c r="G1150" t="s">
        <v>80</v>
      </c>
      <c r="H1150" t="s">
        <v>47</v>
      </c>
      <c r="I1150" t="s">
        <v>21</v>
      </c>
      <c r="J1150" t="s">
        <v>30</v>
      </c>
      <c r="K1150" s="2">
        <v>26571.58</v>
      </c>
      <c r="L1150" s="4">
        <v>4</v>
      </c>
      <c r="M1150" s="3">
        <v>0.19</v>
      </c>
      <c r="N1150" s="2">
        <v>132.86000000000001</v>
      </c>
    </row>
    <row r="1151" spans="1:14" x14ac:dyDescent="0.3">
      <c r="A1151" t="s">
        <v>1816</v>
      </c>
      <c r="B1151" s="1">
        <v>45208</v>
      </c>
      <c r="C1151" t="s">
        <v>1817</v>
      </c>
      <c r="D1151" t="s">
        <v>50</v>
      </c>
      <c r="E1151" t="s">
        <v>26</v>
      </c>
      <c r="F1151" t="s">
        <v>18</v>
      </c>
      <c r="G1151" t="s">
        <v>19</v>
      </c>
      <c r="H1151" t="s">
        <v>20</v>
      </c>
      <c r="I1151" t="s">
        <v>29</v>
      </c>
      <c r="J1151" t="s">
        <v>30</v>
      </c>
      <c r="K1151" s="2">
        <v>23809.07</v>
      </c>
      <c r="L1151" s="4">
        <v>8</v>
      </c>
      <c r="M1151" s="3">
        <v>7.0000000000000007E-2</v>
      </c>
      <c r="N1151" s="2">
        <v>1547.59</v>
      </c>
    </row>
    <row r="1152" spans="1:14" x14ac:dyDescent="0.3">
      <c r="A1152" t="s">
        <v>1989</v>
      </c>
      <c r="B1152" s="1">
        <v>45208</v>
      </c>
      <c r="C1152" t="s">
        <v>120</v>
      </c>
      <c r="D1152" t="s">
        <v>85</v>
      </c>
      <c r="E1152" t="s">
        <v>51</v>
      </c>
      <c r="F1152" t="s">
        <v>34</v>
      </c>
      <c r="G1152" t="s">
        <v>35</v>
      </c>
      <c r="H1152" t="s">
        <v>36</v>
      </c>
      <c r="I1152" t="s">
        <v>21</v>
      </c>
      <c r="J1152" t="s">
        <v>22</v>
      </c>
      <c r="K1152" s="2">
        <v>4820.3599999999997</v>
      </c>
      <c r="L1152" s="4">
        <v>3</v>
      </c>
      <c r="M1152" s="3">
        <v>0.22</v>
      </c>
      <c r="N1152" s="2">
        <v>-48.2</v>
      </c>
    </row>
    <row r="1153" spans="1:14" x14ac:dyDescent="0.3">
      <c r="A1153" t="s">
        <v>2185</v>
      </c>
      <c r="B1153" s="1">
        <v>45208</v>
      </c>
      <c r="C1153" t="s">
        <v>1948</v>
      </c>
      <c r="D1153" t="s">
        <v>61</v>
      </c>
      <c r="E1153" t="s">
        <v>26</v>
      </c>
      <c r="F1153" t="s">
        <v>34</v>
      </c>
      <c r="G1153" t="s">
        <v>35</v>
      </c>
      <c r="H1153" t="s">
        <v>36</v>
      </c>
      <c r="I1153" t="s">
        <v>43</v>
      </c>
      <c r="J1153" t="s">
        <v>64</v>
      </c>
      <c r="K1153" s="2">
        <v>49246.61</v>
      </c>
      <c r="L1153" s="4">
        <v>7</v>
      </c>
      <c r="M1153" s="3">
        <v>0.25</v>
      </c>
      <c r="N1153" s="2">
        <v>-1231.17</v>
      </c>
    </row>
    <row r="1154" spans="1:14" x14ac:dyDescent="0.3">
      <c r="A1154" t="s">
        <v>579</v>
      </c>
      <c r="B1154" s="1">
        <v>45208</v>
      </c>
      <c r="C1154" t="s">
        <v>580</v>
      </c>
      <c r="D1154" t="s">
        <v>85</v>
      </c>
      <c r="E1154" t="s">
        <v>51</v>
      </c>
      <c r="F1154" t="s">
        <v>79</v>
      </c>
      <c r="G1154" t="s">
        <v>80</v>
      </c>
      <c r="H1154" t="s">
        <v>47</v>
      </c>
      <c r="I1154" t="s">
        <v>29</v>
      </c>
      <c r="J1154" t="s">
        <v>54</v>
      </c>
      <c r="K1154" s="2">
        <v>11769.41</v>
      </c>
      <c r="L1154" s="4">
        <v>7</v>
      </c>
      <c r="M1154" s="3">
        <v>0.24</v>
      </c>
      <c r="N1154" s="2">
        <v>-235.39</v>
      </c>
    </row>
    <row r="1155" spans="1:14" x14ac:dyDescent="0.3">
      <c r="A1155" t="s">
        <v>364</v>
      </c>
      <c r="B1155" s="1">
        <v>45209</v>
      </c>
      <c r="C1155" t="s">
        <v>365</v>
      </c>
      <c r="D1155" t="s">
        <v>61</v>
      </c>
      <c r="E1155" t="s">
        <v>17</v>
      </c>
      <c r="F1155" t="s">
        <v>79</v>
      </c>
      <c r="G1155" t="s">
        <v>80</v>
      </c>
      <c r="H1155" t="s">
        <v>47</v>
      </c>
      <c r="I1155" t="s">
        <v>43</v>
      </c>
      <c r="J1155" t="s">
        <v>30</v>
      </c>
      <c r="K1155" s="2">
        <v>45858.34</v>
      </c>
      <c r="L1155" s="4">
        <v>9</v>
      </c>
      <c r="M1155" s="3">
        <v>0.05</v>
      </c>
      <c r="N1155" s="2">
        <v>3439.38</v>
      </c>
    </row>
    <row r="1156" spans="1:14" x14ac:dyDescent="0.3">
      <c r="A1156" t="s">
        <v>1504</v>
      </c>
      <c r="B1156" s="1">
        <v>45209</v>
      </c>
      <c r="C1156" t="s">
        <v>1001</v>
      </c>
      <c r="D1156" t="s">
        <v>25</v>
      </c>
      <c r="E1156" t="s">
        <v>17</v>
      </c>
      <c r="F1156" t="s">
        <v>40</v>
      </c>
      <c r="G1156" t="s">
        <v>41</v>
      </c>
      <c r="H1156" t="s">
        <v>42</v>
      </c>
      <c r="I1156" t="s">
        <v>29</v>
      </c>
      <c r="J1156" t="s">
        <v>106</v>
      </c>
      <c r="K1156" s="2">
        <v>12421.99</v>
      </c>
      <c r="L1156" s="4">
        <v>8</v>
      </c>
      <c r="M1156" s="3">
        <v>7.0000000000000007E-2</v>
      </c>
      <c r="N1156" s="2">
        <v>807.43</v>
      </c>
    </row>
    <row r="1157" spans="1:14" x14ac:dyDescent="0.3">
      <c r="A1157" t="s">
        <v>1535</v>
      </c>
      <c r="B1157" s="1">
        <v>45210</v>
      </c>
      <c r="C1157" t="s">
        <v>1536</v>
      </c>
      <c r="D1157" t="s">
        <v>85</v>
      </c>
      <c r="E1157" t="s">
        <v>51</v>
      </c>
      <c r="F1157" t="s">
        <v>27</v>
      </c>
      <c r="G1157" t="s">
        <v>28</v>
      </c>
      <c r="H1157" t="s">
        <v>20</v>
      </c>
      <c r="I1157" t="s">
        <v>21</v>
      </c>
      <c r="J1157" t="s">
        <v>54</v>
      </c>
      <c r="K1157" s="2">
        <v>13445.42</v>
      </c>
      <c r="L1157" s="4">
        <v>9</v>
      </c>
      <c r="M1157" s="3">
        <v>0</v>
      </c>
      <c r="N1157" s="2">
        <v>1344.54</v>
      </c>
    </row>
    <row r="1158" spans="1:14" x14ac:dyDescent="0.3">
      <c r="A1158" t="s">
        <v>522</v>
      </c>
      <c r="B1158" s="1">
        <v>45210</v>
      </c>
      <c r="C1158" t="s">
        <v>523</v>
      </c>
      <c r="D1158" t="s">
        <v>33</v>
      </c>
      <c r="E1158" t="s">
        <v>17</v>
      </c>
      <c r="F1158" t="s">
        <v>79</v>
      </c>
      <c r="G1158" t="s">
        <v>80</v>
      </c>
      <c r="H1158" t="s">
        <v>47</v>
      </c>
      <c r="I1158" t="s">
        <v>21</v>
      </c>
      <c r="J1158" t="s">
        <v>37</v>
      </c>
      <c r="K1158" s="2">
        <v>19846.25</v>
      </c>
      <c r="L1158" s="4">
        <v>5</v>
      </c>
      <c r="M1158" s="3">
        <v>0.12</v>
      </c>
      <c r="N1158" s="2">
        <v>793.85</v>
      </c>
    </row>
    <row r="1159" spans="1:14" x14ac:dyDescent="0.3">
      <c r="A1159" t="s">
        <v>655</v>
      </c>
      <c r="B1159" s="1">
        <v>45211</v>
      </c>
      <c r="C1159" t="s">
        <v>656</v>
      </c>
      <c r="D1159" t="s">
        <v>16</v>
      </c>
      <c r="E1159" t="s">
        <v>26</v>
      </c>
      <c r="F1159" t="s">
        <v>27</v>
      </c>
      <c r="G1159" t="s">
        <v>28</v>
      </c>
      <c r="H1159" t="s">
        <v>20</v>
      </c>
      <c r="I1159" t="s">
        <v>43</v>
      </c>
      <c r="J1159" t="s">
        <v>64</v>
      </c>
      <c r="K1159" s="2">
        <v>41182.720000000001</v>
      </c>
      <c r="L1159" s="4">
        <v>10</v>
      </c>
      <c r="M1159" s="3">
        <v>0.01</v>
      </c>
      <c r="N1159" s="2">
        <v>3912.36</v>
      </c>
    </row>
    <row r="1160" spans="1:14" x14ac:dyDescent="0.3">
      <c r="A1160" t="s">
        <v>998</v>
      </c>
      <c r="B1160" s="1">
        <v>45211</v>
      </c>
      <c r="C1160" t="s">
        <v>999</v>
      </c>
      <c r="D1160" t="s">
        <v>61</v>
      </c>
      <c r="E1160" t="s">
        <v>26</v>
      </c>
      <c r="F1160" t="s">
        <v>79</v>
      </c>
      <c r="G1160" t="s">
        <v>80</v>
      </c>
      <c r="H1160" t="s">
        <v>47</v>
      </c>
      <c r="I1160" t="s">
        <v>21</v>
      </c>
      <c r="J1160" t="s">
        <v>22</v>
      </c>
      <c r="K1160" s="2">
        <v>20938.29</v>
      </c>
      <c r="L1160" s="4">
        <v>10</v>
      </c>
      <c r="M1160" s="3">
        <v>0.14000000000000001</v>
      </c>
      <c r="N1160" s="2">
        <v>628.15</v>
      </c>
    </row>
    <row r="1161" spans="1:14" x14ac:dyDescent="0.3">
      <c r="A1161" t="s">
        <v>1701</v>
      </c>
      <c r="B1161" s="1">
        <v>45211</v>
      </c>
      <c r="C1161" t="s">
        <v>519</v>
      </c>
      <c r="D1161" t="s">
        <v>16</v>
      </c>
      <c r="E1161" t="s">
        <v>51</v>
      </c>
      <c r="F1161" t="s">
        <v>46</v>
      </c>
      <c r="G1161" t="s">
        <v>46</v>
      </c>
      <c r="H1161" t="s">
        <v>47</v>
      </c>
      <c r="I1161" t="s">
        <v>43</v>
      </c>
      <c r="J1161" t="s">
        <v>106</v>
      </c>
      <c r="K1161" s="2">
        <v>1203.3599999999999</v>
      </c>
      <c r="L1161" s="4">
        <v>2</v>
      </c>
      <c r="M1161" s="3">
        <v>0.11</v>
      </c>
      <c r="N1161" s="2">
        <v>54.15</v>
      </c>
    </row>
    <row r="1162" spans="1:14" x14ac:dyDescent="0.3">
      <c r="A1162" t="s">
        <v>271</v>
      </c>
      <c r="B1162" s="1">
        <v>45211</v>
      </c>
      <c r="C1162" t="s">
        <v>272</v>
      </c>
      <c r="D1162" t="s">
        <v>33</v>
      </c>
      <c r="E1162" t="s">
        <v>17</v>
      </c>
      <c r="F1162" t="s">
        <v>40</v>
      </c>
      <c r="G1162" t="s">
        <v>41</v>
      </c>
      <c r="H1162" t="s">
        <v>42</v>
      </c>
      <c r="I1162" t="s">
        <v>43</v>
      </c>
      <c r="J1162" t="s">
        <v>64</v>
      </c>
      <c r="K1162" s="2">
        <v>30779.14</v>
      </c>
      <c r="L1162" s="4">
        <v>5</v>
      </c>
      <c r="M1162" s="3">
        <v>0.04</v>
      </c>
      <c r="N1162" s="2">
        <v>2462.33</v>
      </c>
    </row>
    <row r="1163" spans="1:14" x14ac:dyDescent="0.3">
      <c r="A1163" t="s">
        <v>2157</v>
      </c>
      <c r="B1163" s="1">
        <v>45211</v>
      </c>
      <c r="C1163" t="s">
        <v>491</v>
      </c>
      <c r="D1163" t="s">
        <v>50</v>
      </c>
      <c r="E1163" t="s">
        <v>51</v>
      </c>
      <c r="F1163" t="s">
        <v>34</v>
      </c>
      <c r="G1163" t="s">
        <v>35</v>
      </c>
      <c r="H1163" t="s">
        <v>36</v>
      </c>
      <c r="I1163" t="s">
        <v>29</v>
      </c>
      <c r="J1163" t="s">
        <v>106</v>
      </c>
      <c r="K1163" s="2">
        <v>1006.03</v>
      </c>
      <c r="L1163" s="4">
        <v>1</v>
      </c>
      <c r="M1163" s="3">
        <v>0.19</v>
      </c>
      <c r="N1163" s="2">
        <v>5.03</v>
      </c>
    </row>
    <row r="1164" spans="1:14" x14ac:dyDescent="0.3">
      <c r="A1164" t="s">
        <v>731</v>
      </c>
      <c r="B1164" s="1">
        <v>45212</v>
      </c>
      <c r="C1164" t="s">
        <v>333</v>
      </c>
      <c r="D1164" t="s">
        <v>50</v>
      </c>
      <c r="E1164" t="s">
        <v>17</v>
      </c>
      <c r="F1164" t="s">
        <v>79</v>
      </c>
      <c r="G1164" t="s">
        <v>80</v>
      </c>
      <c r="H1164" t="s">
        <v>47</v>
      </c>
      <c r="I1164" t="s">
        <v>21</v>
      </c>
      <c r="J1164" t="s">
        <v>58</v>
      </c>
      <c r="K1164" s="2">
        <v>40786.21</v>
      </c>
      <c r="L1164" s="4">
        <v>4</v>
      </c>
      <c r="M1164" s="3">
        <v>0.27</v>
      </c>
      <c r="N1164" s="2">
        <v>-1427.52</v>
      </c>
    </row>
    <row r="1165" spans="1:14" x14ac:dyDescent="0.3">
      <c r="A1165" t="s">
        <v>1197</v>
      </c>
      <c r="B1165" s="1">
        <v>45212</v>
      </c>
      <c r="C1165" t="s">
        <v>604</v>
      </c>
      <c r="D1165" t="s">
        <v>33</v>
      </c>
      <c r="E1165" t="s">
        <v>51</v>
      </c>
      <c r="F1165" t="s">
        <v>34</v>
      </c>
      <c r="G1165" t="s">
        <v>35</v>
      </c>
      <c r="H1165" t="s">
        <v>36</v>
      </c>
      <c r="I1165" t="s">
        <v>43</v>
      </c>
      <c r="J1165" t="s">
        <v>54</v>
      </c>
      <c r="K1165" s="2">
        <v>26658.28</v>
      </c>
      <c r="L1165" s="4">
        <v>3</v>
      </c>
      <c r="M1165" s="3">
        <v>0.18</v>
      </c>
      <c r="N1165" s="2">
        <v>266.58</v>
      </c>
    </row>
    <row r="1166" spans="1:14" x14ac:dyDescent="0.3">
      <c r="A1166" t="s">
        <v>670</v>
      </c>
      <c r="B1166" s="1">
        <v>45212</v>
      </c>
      <c r="C1166" t="s">
        <v>350</v>
      </c>
      <c r="D1166" t="s">
        <v>25</v>
      </c>
      <c r="E1166" t="s">
        <v>51</v>
      </c>
      <c r="F1166" t="s">
        <v>40</v>
      </c>
      <c r="G1166" t="s">
        <v>41</v>
      </c>
      <c r="H1166" t="s">
        <v>42</v>
      </c>
      <c r="I1166" t="s">
        <v>29</v>
      </c>
      <c r="J1166" t="s">
        <v>106</v>
      </c>
      <c r="K1166" s="2">
        <v>39305.32</v>
      </c>
      <c r="L1166" s="4">
        <v>3</v>
      </c>
      <c r="M1166" s="3">
        <v>0.24</v>
      </c>
      <c r="N1166" s="2">
        <v>-786.11</v>
      </c>
    </row>
    <row r="1167" spans="1:14" x14ac:dyDescent="0.3">
      <c r="A1167" t="s">
        <v>1012</v>
      </c>
      <c r="B1167" s="1">
        <v>45213</v>
      </c>
      <c r="C1167" t="s">
        <v>1013</v>
      </c>
      <c r="D1167" t="s">
        <v>16</v>
      </c>
      <c r="E1167" t="s">
        <v>17</v>
      </c>
      <c r="F1167" t="s">
        <v>46</v>
      </c>
      <c r="G1167" t="s">
        <v>46</v>
      </c>
      <c r="H1167" t="s">
        <v>47</v>
      </c>
      <c r="I1167" t="s">
        <v>29</v>
      </c>
      <c r="J1167" t="s">
        <v>64</v>
      </c>
      <c r="K1167" s="2">
        <v>16340.14</v>
      </c>
      <c r="L1167" s="4">
        <v>1</v>
      </c>
      <c r="M1167" s="3">
        <v>0.19</v>
      </c>
      <c r="N1167" s="2">
        <v>81.7</v>
      </c>
    </row>
    <row r="1168" spans="1:14" x14ac:dyDescent="0.3">
      <c r="A1168" t="s">
        <v>1059</v>
      </c>
      <c r="B1168" s="1">
        <v>45213</v>
      </c>
      <c r="C1168" t="s">
        <v>1060</v>
      </c>
      <c r="D1168" t="s">
        <v>25</v>
      </c>
      <c r="E1168" t="s">
        <v>17</v>
      </c>
      <c r="F1168" t="s">
        <v>79</v>
      </c>
      <c r="G1168" t="s">
        <v>80</v>
      </c>
      <c r="H1168" t="s">
        <v>47</v>
      </c>
      <c r="I1168" t="s">
        <v>29</v>
      </c>
      <c r="J1168" t="s">
        <v>22</v>
      </c>
      <c r="K1168" s="2">
        <v>31494.63</v>
      </c>
      <c r="L1168" s="4">
        <v>4</v>
      </c>
      <c r="M1168" s="3">
        <v>0.28000000000000003</v>
      </c>
      <c r="N1168" s="2">
        <v>-1259.79</v>
      </c>
    </row>
    <row r="1169" spans="1:14" x14ac:dyDescent="0.3">
      <c r="A1169" t="s">
        <v>1242</v>
      </c>
      <c r="B1169" s="1">
        <v>45213</v>
      </c>
      <c r="C1169" t="s">
        <v>616</v>
      </c>
      <c r="D1169" t="s">
        <v>16</v>
      </c>
      <c r="E1169" t="s">
        <v>26</v>
      </c>
      <c r="F1169" t="s">
        <v>27</v>
      </c>
      <c r="G1169" t="s">
        <v>28</v>
      </c>
      <c r="H1169" t="s">
        <v>20</v>
      </c>
      <c r="I1169" t="s">
        <v>43</v>
      </c>
      <c r="J1169" t="s">
        <v>22</v>
      </c>
      <c r="K1169" s="2">
        <v>46428.93</v>
      </c>
      <c r="L1169" s="4">
        <v>4</v>
      </c>
      <c r="M1169" s="3">
        <v>0.21</v>
      </c>
      <c r="N1169" s="2">
        <v>-232.14</v>
      </c>
    </row>
    <row r="1170" spans="1:14" x14ac:dyDescent="0.3">
      <c r="A1170" t="s">
        <v>807</v>
      </c>
      <c r="B1170" s="1">
        <v>45213</v>
      </c>
      <c r="C1170" t="s">
        <v>808</v>
      </c>
      <c r="D1170" t="s">
        <v>16</v>
      </c>
      <c r="E1170" t="s">
        <v>26</v>
      </c>
      <c r="F1170" t="s">
        <v>40</v>
      </c>
      <c r="G1170" t="s">
        <v>41</v>
      </c>
      <c r="H1170" t="s">
        <v>42</v>
      </c>
      <c r="I1170" t="s">
        <v>21</v>
      </c>
      <c r="J1170" t="s">
        <v>58</v>
      </c>
      <c r="K1170" s="2">
        <v>48955.32</v>
      </c>
      <c r="L1170" s="4">
        <v>1</v>
      </c>
      <c r="M1170" s="3">
        <v>0.3</v>
      </c>
      <c r="N1170" s="2">
        <v>-2447.77</v>
      </c>
    </row>
    <row r="1171" spans="1:14" x14ac:dyDescent="0.3">
      <c r="A1171" t="s">
        <v>698</v>
      </c>
      <c r="B1171" s="1">
        <v>45213</v>
      </c>
      <c r="C1171" t="s">
        <v>548</v>
      </c>
      <c r="D1171" t="s">
        <v>33</v>
      </c>
      <c r="E1171" t="s">
        <v>26</v>
      </c>
      <c r="F1171" t="s">
        <v>79</v>
      </c>
      <c r="G1171" t="s">
        <v>80</v>
      </c>
      <c r="H1171" t="s">
        <v>47</v>
      </c>
      <c r="I1171" t="s">
        <v>43</v>
      </c>
      <c r="J1171" t="s">
        <v>22</v>
      </c>
      <c r="K1171" s="2">
        <v>6222.39</v>
      </c>
      <c r="L1171" s="4">
        <v>3</v>
      </c>
      <c r="M1171" s="3">
        <v>0.18</v>
      </c>
      <c r="N1171" s="2">
        <v>62.22</v>
      </c>
    </row>
    <row r="1172" spans="1:14" x14ac:dyDescent="0.3">
      <c r="A1172" t="s">
        <v>1235</v>
      </c>
      <c r="B1172" s="1">
        <v>45213</v>
      </c>
      <c r="C1172" t="s">
        <v>495</v>
      </c>
      <c r="D1172" t="s">
        <v>16</v>
      </c>
      <c r="E1172" t="s">
        <v>17</v>
      </c>
      <c r="F1172" t="s">
        <v>46</v>
      </c>
      <c r="G1172" t="s">
        <v>46</v>
      </c>
      <c r="H1172" t="s">
        <v>47</v>
      </c>
      <c r="I1172" t="s">
        <v>29</v>
      </c>
      <c r="J1172" t="s">
        <v>22</v>
      </c>
      <c r="K1172" s="2">
        <v>45557.66</v>
      </c>
      <c r="L1172" s="4">
        <v>2</v>
      </c>
      <c r="M1172" s="3">
        <v>7.0000000000000007E-2</v>
      </c>
      <c r="N1172" s="2">
        <v>2961.25</v>
      </c>
    </row>
    <row r="1173" spans="1:14" x14ac:dyDescent="0.3">
      <c r="A1173" t="s">
        <v>791</v>
      </c>
      <c r="B1173" s="1">
        <v>45214</v>
      </c>
      <c r="C1173" t="s">
        <v>388</v>
      </c>
      <c r="D1173" t="s">
        <v>25</v>
      </c>
      <c r="E1173" t="s">
        <v>17</v>
      </c>
      <c r="F1173" t="s">
        <v>46</v>
      </c>
      <c r="G1173" t="s">
        <v>46</v>
      </c>
      <c r="H1173" t="s">
        <v>47</v>
      </c>
      <c r="I1173" t="s">
        <v>29</v>
      </c>
      <c r="J1173" t="s">
        <v>106</v>
      </c>
      <c r="K1173" s="2">
        <v>31449.58</v>
      </c>
      <c r="L1173" s="4">
        <v>10</v>
      </c>
      <c r="M1173" s="3">
        <v>0.11</v>
      </c>
      <c r="N1173" s="2">
        <v>1415.23</v>
      </c>
    </row>
    <row r="1174" spans="1:14" x14ac:dyDescent="0.3">
      <c r="A1174" t="s">
        <v>972</v>
      </c>
      <c r="B1174" s="1">
        <v>45214</v>
      </c>
      <c r="C1174" t="s">
        <v>973</v>
      </c>
      <c r="D1174" t="s">
        <v>61</v>
      </c>
      <c r="E1174" t="s">
        <v>26</v>
      </c>
      <c r="F1174" t="s">
        <v>18</v>
      </c>
      <c r="G1174" t="s">
        <v>19</v>
      </c>
      <c r="H1174" t="s">
        <v>20</v>
      </c>
      <c r="I1174" t="s">
        <v>21</v>
      </c>
      <c r="J1174" t="s">
        <v>37</v>
      </c>
      <c r="K1174" s="2">
        <v>48855.59</v>
      </c>
      <c r="L1174" s="4">
        <v>7</v>
      </c>
      <c r="M1174" s="3">
        <v>0.18</v>
      </c>
      <c r="N1174" s="2">
        <v>488.56</v>
      </c>
    </row>
    <row r="1175" spans="1:14" x14ac:dyDescent="0.3">
      <c r="A1175" t="s">
        <v>1913</v>
      </c>
      <c r="B1175" s="1">
        <v>45214</v>
      </c>
      <c r="C1175" t="s">
        <v>290</v>
      </c>
      <c r="D1175" t="s">
        <v>85</v>
      </c>
      <c r="E1175" t="s">
        <v>26</v>
      </c>
      <c r="F1175" t="s">
        <v>79</v>
      </c>
      <c r="G1175" t="s">
        <v>80</v>
      </c>
      <c r="H1175" t="s">
        <v>47</v>
      </c>
      <c r="I1175" t="s">
        <v>43</v>
      </c>
      <c r="J1175" t="s">
        <v>58</v>
      </c>
      <c r="K1175" s="2">
        <v>29157.599999999999</v>
      </c>
      <c r="L1175" s="4">
        <v>5</v>
      </c>
      <c r="M1175" s="3">
        <v>0.14000000000000001</v>
      </c>
      <c r="N1175" s="2">
        <v>874.73</v>
      </c>
    </row>
    <row r="1176" spans="1:14" x14ac:dyDescent="0.3">
      <c r="A1176" t="s">
        <v>821</v>
      </c>
      <c r="B1176" s="1">
        <v>45214</v>
      </c>
      <c r="C1176" t="s">
        <v>210</v>
      </c>
      <c r="D1176" t="s">
        <v>16</v>
      </c>
      <c r="E1176" t="s">
        <v>26</v>
      </c>
      <c r="F1176" t="s">
        <v>40</v>
      </c>
      <c r="G1176" t="s">
        <v>41</v>
      </c>
      <c r="H1176" t="s">
        <v>42</v>
      </c>
      <c r="I1176" t="s">
        <v>29</v>
      </c>
      <c r="J1176" t="s">
        <v>22</v>
      </c>
      <c r="K1176" s="2">
        <v>5247.81</v>
      </c>
      <c r="L1176" s="4">
        <v>8</v>
      </c>
      <c r="M1176" s="3">
        <v>0.3</v>
      </c>
      <c r="N1176" s="2">
        <v>-262.39</v>
      </c>
    </row>
    <row r="1177" spans="1:14" x14ac:dyDescent="0.3">
      <c r="A1177" t="s">
        <v>1191</v>
      </c>
      <c r="B1177" s="1">
        <v>45214</v>
      </c>
      <c r="C1177" t="s">
        <v>1192</v>
      </c>
      <c r="D1177" t="s">
        <v>33</v>
      </c>
      <c r="E1177" t="s">
        <v>51</v>
      </c>
      <c r="F1177" t="s">
        <v>46</v>
      </c>
      <c r="G1177" t="s">
        <v>46</v>
      </c>
      <c r="H1177" t="s">
        <v>47</v>
      </c>
      <c r="I1177" t="s">
        <v>21</v>
      </c>
      <c r="J1177" t="s">
        <v>106</v>
      </c>
      <c r="K1177" s="2">
        <v>34791.339999999997</v>
      </c>
      <c r="L1177" s="4">
        <v>5</v>
      </c>
      <c r="M1177" s="3">
        <v>0.06</v>
      </c>
      <c r="N1177" s="2">
        <v>2435.39</v>
      </c>
    </row>
    <row r="1178" spans="1:14" x14ac:dyDescent="0.3">
      <c r="A1178" t="s">
        <v>660</v>
      </c>
      <c r="B1178" s="1">
        <v>45215</v>
      </c>
      <c r="C1178" t="s">
        <v>661</v>
      </c>
      <c r="D1178" t="s">
        <v>25</v>
      </c>
      <c r="E1178" t="s">
        <v>17</v>
      </c>
      <c r="F1178" t="s">
        <v>46</v>
      </c>
      <c r="G1178" t="s">
        <v>46</v>
      </c>
      <c r="H1178" t="s">
        <v>47</v>
      </c>
      <c r="I1178" t="s">
        <v>43</v>
      </c>
      <c r="J1178" t="s">
        <v>54</v>
      </c>
      <c r="K1178" s="2">
        <v>25488.22</v>
      </c>
      <c r="L1178" s="4">
        <v>10</v>
      </c>
      <c r="M1178" s="3">
        <v>0.12</v>
      </c>
      <c r="N1178" s="2">
        <v>1019.53</v>
      </c>
    </row>
    <row r="1179" spans="1:14" x14ac:dyDescent="0.3">
      <c r="A1179" t="s">
        <v>1248</v>
      </c>
      <c r="B1179" s="1">
        <v>45215</v>
      </c>
      <c r="C1179" t="s">
        <v>1249</v>
      </c>
      <c r="D1179" t="s">
        <v>85</v>
      </c>
      <c r="E1179" t="s">
        <v>26</v>
      </c>
      <c r="F1179" t="s">
        <v>79</v>
      </c>
      <c r="G1179" t="s">
        <v>80</v>
      </c>
      <c r="H1179" t="s">
        <v>47</v>
      </c>
      <c r="I1179" t="s">
        <v>29</v>
      </c>
      <c r="J1179" t="s">
        <v>30</v>
      </c>
      <c r="K1179" s="2">
        <v>8682.3700000000008</v>
      </c>
      <c r="L1179" s="4">
        <v>10</v>
      </c>
      <c r="M1179" s="3">
        <v>0.2</v>
      </c>
      <c r="N1179" s="2">
        <v>0</v>
      </c>
    </row>
    <row r="1180" spans="1:14" x14ac:dyDescent="0.3">
      <c r="A1180" t="s">
        <v>1376</v>
      </c>
      <c r="B1180" s="1">
        <v>45215</v>
      </c>
      <c r="C1180" t="s">
        <v>244</v>
      </c>
      <c r="D1180" t="s">
        <v>33</v>
      </c>
      <c r="E1180" t="s">
        <v>26</v>
      </c>
      <c r="F1180" t="s">
        <v>46</v>
      </c>
      <c r="G1180" t="s">
        <v>46</v>
      </c>
      <c r="H1180" t="s">
        <v>47</v>
      </c>
      <c r="I1180" t="s">
        <v>29</v>
      </c>
      <c r="J1180" t="s">
        <v>30</v>
      </c>
      <c r="K1180" s="2">
        <v>26399.07</v>
      </c>
      <c r="L1180" s="4">
        <v>8</v>
      </c>
      <c r="M1180" s="3">
        <v>0.1</v>
      </c>
      <c r="N1180" s="2">
        <v>1319.95</v>
      </c>
    </row>
    <row r="1181" spans="1:14" x14ac:dyDescent="0.3">
      <c r="A1181" t="s">
        <v>31</v>
      </c>
      <c r="B1181" s="1">
        <v>45216</v>
      </c>
      <c r="C1181" t="s">
        <v>32</v>
      </c>
      <c r="D1181" t="s">
        <v>33</v>
      </c>
      <c r="E1181" t="s">
        <v>17</v>
      </c>
      <c r="F1181" t="s">
        <v>34</v>
      </c>
      <c r="G1181" t="s">
        <v>35</v>
      </c>
      <c r="H1181" t="s">
        <v>36</v>
      </c>
      <c r="I1181" t="s">
        <v>29</v>
      </c>
      <c r="J1181" t="s">
        <v>37</v>
      </c>
      <c r="K1181" s="2">
        <v>18495.63</v>
      </c>
      <c r="L1181" s="4">
        <v>3</v>
      </c>
      <c r="M1181" s="3">
        <v>0.21</v>
      </c>
      <c r="N1181" s="2">
        <v>-92.48</v>
      </c>
    </row>
    <row r="1182" spans="1:14" x14ac:dyDescent="0.3">
      <c r="A1182" t="s">
        <v>2209</v>
      </c>
      <c r="B1182" s="1">
        <v>45216</v>
      </c>
      <c r="C1182" t="s">
        <v>103</v>
      </c>
      <c r="D1182" t="s">
        <v>85</v>
      </c>
      <c r="E1182" t="s">
        <v>26</v>
      </c>
      <c r="F1182" t="s">
        <v>18</v>
      </c>
      <c r="G1182" t="s">
        <v>19</v>
      </c>
      <c r="H1182" t="s">
        <v>20</v>
      </c>
      <c r="I1182" t="s">
        <v>43</v>
      </c>
      <c r="J1182" t="s">
        <v>106</v>
      </c>
      <c r="K1182" s="2">
        <v>16413.080000000002</v>
      </c>
      <c r="L1182" s="4">
        <v>2</v>
      </c>
      <c r="M1182" s="3">
        <v>0.26</v>
      </c>
      <c r="N1182" s="2">
        <v>-492.39</v>
      </c>
    </row>
    <row r="1183" spans="1:14" x14ac:dyDescent="0.3">
      <c r="A1183" t="s">
        <v>1421</v>
      </c>
      <c r="B1183" s="1">
        <v>45216</v>
      </c>
      <c r="C1183" t="s">
        <v>339</v>
      </c>
      <c r="D1183" t="s">
        <v>25</v>
      </c>
      <c r="E1183" t="s">
        <v>17</v>
      </c>
      <c r="F1183" t="s">
        <v>79</v>
      </c>
      <c r="G1183" t="s">
        <v>80</v>
      </c>
      <c r="H1183" t="s">
        <v>47</v>
      </c>
      <c r="I1183" t="s">
        <v>43</v>
      </c>
      <c r="J1183" t="s">
        <v>58</v>
      </c>
      <c r="K1183" s="2">
        <v>11108.36</v>
      </c>
      <c r="L1183" s="4">
        <v>2</v>
      </c>
      <c r="M1183" s="3">
        <v>0.02</v>
      </c>
      <c r="N1183" s="2">
        <v>999.75</v>
      </c>
    </row>
    <row r="1184" spans="1:14" x14ac:dyDescent="0.3">
      <c r="A1184" t="s">
        <v>314</v>
      </c>
      <c r="B1184" s="1">
        <v>45217</v>
      </c>
      <c r="C1184" t="s">
        <v>315</v>
      </c>
      <c r="D1184" t="s">
        <v>25</v>
      </c>
      <c r="E1184" t="s">
        <v>17</v>
      </c>
      <c r="F1184" t="s">
        <v>79</v>
      </c>
      <c r="G1184" t="s">
        <v>80</v>
      </c>
      <c r="H1184" t="s">
        <v>47</v>
      </c>
      <c r="I1184" t="s">
        <v>29</v>
      </c>
      <c r="J1184" t="s">
        <v>30</v>
      </c>
      <c r="K1184" s="2">
        <v>23853.72</v>
      </c>
      <c r="L1184" s="4">
        <v>5</v>
      </c>
      <c r="M1184" s="3">
        <v>0.13</v>
      </c>
      <c r="N1184" s="2">
        <v>834.88</v>
      </c>
    </row>
    <row r="1185" spans="1:14" x14ac:dyDescent="0.3">
      <c r="A1185" t="s">
        <v>732</v>
      </c>
      <c r="B1185" s="1">
        <v>45217</v>
      </c>
      <c r="C1185" t="s">
        <v>650</v>
      </c>
      <c r="D1185" t="s">
        <v>16</v>
      </c>
      <c r="E1185" t="s">
        <v>51</v>
      </c>
      <c r="F1185" t="s">
        <v>46</v>
      </c>
      <c r="G1185" t="s">
        <v>46</v>
      </c>
      <c r="H1185" t="s">
        <v>47</v>
      </c>
      <c r="I1185" t="s">
        <v>29</v>
      </c>
      <c r="J1185" t="s">
        <v>30</v>
      </c>
      <c r="K1185" s="2">
        <v>11406.95</v>
      </c>
      <c r="L1185" s="4">
        <v>3</v>
      </c>
      <c r="M1185" s="3">
        <v>0.12</v>
      </c>
      <c r="N1185" s="2">
        <v>456.28</v>
      </c>
    </row>
    <row r="1186" spans="1:14" x14ac:dyDescent="0.3">
      <c r="A1186" t="s">
        <v>1094</v>
      </c>
      <c r="B1186" s="1">
        <v>45217</v>
      </c>
      <c r="C1186" t="s">
        <v>550</v>
      </c>
      <c r="D1186" t="s">
        <v>61</v>
      </c>
      <c r="E1186" t="s">
        <v>26</v>
      </c>
      <c r="F1186" t="s">
        <v>46</v>
      </c>
      <c r="G1186" t="s">
        <v>46</v>
      </c>
      <c r="H1186" t="s">
        <v>47</v>
      </c>
      <c r="I1186" t="s">
        <v>29</v>
      </c>
      <c r="J1186" t="s">
        <v>106</v>
      </c>
      <c r="K1186" s="2">
        <v>43807.75</v>
      </c>
      <c r="L1186" s="4">
        <v>4</v>
      </c>
      <c r="M1186" s="3">
        <v>0.03</v>
      </c>
      <c r="N1186" s="2">
        <v>3723.66</v>
      </c>
    </row>
    <row r="1187" spans="1:14" x14ac:dyDescent="0.3">
      <c r="A1187" t="s">
        <v>2227</v>
      </c>
      <c r="B1187" s="1">
        <v>45217</v>
      </c>
      <c r="C1187" t="s">
        <v>2228</v>
      </c>
      <c r="D1187" t="s">
        <v>25</v>
      </c>
      <c r="E1187" t="s">
        <v>17</v>
      </c>
      <c r="F1187" t="s">
        <v>18</v>
      </c>
      <c r="G1187" t="s">
        <v>19</v>
      </c>
      <c r="H1187" t="s">
        <v>20</v>
      </c>
      <c r="I1187" t="s">
        <v>21</v>
      </c>
      <c r="J1187" t="s">
        <v>58</v>
      </c>
      <c r="K1187" s="2">
        <v>29626.51</v>
      </c>
      <c r="L1187" s="4">
        <v>2</v>
      </c>
      <c r="M1187" s="3">
        <v>0.01</v>
      </c>
      <c r="N1187" s="2">
        <v>2814.52</v>
      </c>
    </row>
    <row r="1188" spans="1:14" x14ac:dyDescent="0.3">
      <c r="A1188" t="s">
        <v>910</v>
      </c>
      <c r="B1188" s="1">
        <v>45218</v>
      </c>
      <c r="C1188" t="s">
        <v>663</v>
      </c>
      <c r="D1188" t="s">
        <v>57</v>
      </c>
      <c r="E1188" t="s">
        <v>26</v>
      </c>
      <c r="F1188" t="s">
        <v>18</v>
      </c>
      <c r="G1188" t="s">
        <v>19</v>
      </c>
      <c r="H1188" t="s">
        <v>20</v>
      </c>
      <c r="I1188" t="s">
        <v>21</v>
      </c>
      <c r="J1188" t="s">
        <v>30</v>
      </c>
      <c r="K1188" s="2">
        <v>2623.83</v>
      </c>
      <c r="L1188" s="4">
        <v>3</v>
      </c>
      <c r="M1188" s="3">
        <v>0.27</v>
      </c>
      <c r="N1188" s="2">
        <v>-91.83</v>
      </c>
    </row>
    <row r="1189" spans="1:14" x14ac:dyDescent="0.3">
      <c r="A1189" t="s">
        <v>1368</v>
      </c>
      <c r="B1189" s="1">
        <v>45218</v>
      </c>
      <c r="C1189" t="s">
        <v>270</v>
      </c>
      <c r="D1189" t="s">
        <v>85</v>
      </c>
      <c r="E1189" t="s">
        <v>51</v>
      </c>
      <c r="F1189" t="s">
        <v>46</v>
      </c>
      <c r="G1189" t="s">
        <v>46</v>
      </c>
      <c r="H1189" t="s">
        <v>47</v>
      </c>
      <c r="I1189" t="s">
        <v>29</v>
      </c>
      <c r="J1189" t="s">
        <v>106</v>
      </c>
      <c r="K1189" s="2">
        <v>35920.06</v>
      </c>
      <c r="L1189" s="4">
        <v>3</v>
      </c>
      <c r="M1189" s="3">
        <v>0.2</v>
      </c>
      <c r="N1189" s="2">
        <v>0</v>
      </c>
    </row>
    <row r="1190" spans="1:14" x14ac:dyDescent="0.3">
      <c r="A1190" t="s">
        <v>1450</v>
      </c>
      <c r="B1190" s="1">
        <v>45219</v>
      </c>
      <c r="C1190" t="s">
        <v>583</v>
      </c>
      <c r="D1190" t="s">
        <v>85</v>
      </c>
      <c r="E1190" t="s">
        <v>26</v>
      </c>
      <c r="F1190" t="s">
        <v>40</v>
      </c>
      <c r="G1190" t="s">
        <v>41</v>
      </c>
      <c r="H1190" t="s">
        <v>42</v>
      </c>
      <c r="I1190" t="s">
        <v>21</v>
      </c>
      <c r="J1190" t="s">
        <v>37</v>
      </c>
      <c r="K1190" s="2">
        <v>15608.49</v>
      </c>
      <c r="L1190" s="4">
        <v>6</v>
      </c>
      <c r="M1190" s="3">
        <v>0.19</v>
      </c>
      <c r="N1190" s="2">
        <v>78.040000000000006</v>
      </c>
    </row>
    <row r="1191" spans="1:14" x14ac:dyDescent="0.3">
      <c r="A1191" t="s">
        <v>1934</v>
      </c>
      <c r="B1191" s="1">
        <v>45219</v>
      </c>
      <c r="C1191" t="s">
        <v>484</v>
      </c>
      <c r="D1191" t="s">
        <v>61</v>
      </c>
      <c r="E1191" t="s">
        <v>17</v>
      </c>
      <c r="F1191" t="s">
        <v>79</v>
      </c>
      <c r="G1191" t="s">
        <v>80</v>
      </c>
      <c r="H1191" t="s">
        <v>47</v>
      </c>
      <c r="I1191" t="s">
        <v>29</v>
      </c>
      <c r="J1191" t="s">
        <v>22</v>
      </c>
      <c r="K1191" s="2">
        <v>2286.85</v>
      </c>
      <c r="L1191" s="4">
        <v>6</v>
      </c>
      <c r="M1191" s="3">
        <v>7.0000000000000007E-2</v>
      </c>
      <c r="N1191" s="2">
        <v>148.65</v>
      </c>
    </row>
    <row r="1192" spans="1:14" x14ac:dyDescent="0.3">
      <c r="A1192" t="s">
        <v>1463</v>
      </c>
      <c r="B1192" s="1">
        <v>45220</v>
      </c>
      <c r="C1192" t="s">
        <v>1110</v>
      </c>
      <c r="D1192" t="s">
        <v>61</v>
      </c>
      <c r="E1192" t="s">
        <v>51</v>
      </c>
      <c r="F1192" t="s">
        <v>34</v>
      </c>
      <c r="G1192" t="s">
        <v>35</v>
      </c>
      <c r="H1192" t="s">
        <v>36</v>
      </c>
      <c r="I1192" t="s">
        <v>29</v>
      </c>
      <c r="J1192" t="s">
        <v>64</v>
      </c>
      <c r="K1192" s="2">
        <v>46089.73</v>
      </c>
      <c r="L1192" s="4">
        <v>2</v>
      </c>
      <c r="M1192" s="3">
        <v>0.25</v>
      </c>
      <c r="N1192" s="2">
        <v>-1152.24</v>
      </c>
    </row>
    <row r="1193" spans="1:14" x14ac:dyDescent="0.3">
      <c r="A1193" t="s">
        <v>480</v>
      </c>
      <c r="B1193" s="1">
        <v>45220</v>
      </c>
      <c r="C1193" t="s">
        <v>481</v>
      </c>
      <c r="D1193" t="s">
        <v>33</v>
      </c>
      <c r="E1193" t="s">
        <v>17</v>
      </c>
      <c r="F1193" t="s">
        <v>79</v>
      </c>
      <c r="G1193" t="s">
        <v>80</v>
      </c>
      <c r="H1193" t="s">
        <v>47</v>
      </c>
      <c r="I1193" t="s">
        <v>43</v>
      </c>
      <c r="J1193" t="s">
        <v>54</v>
      </c>
      <c r="K1193" s="2">
        <v>39697.61</v>
      </c>
      <c r="L1193" s="4">
        <v>1</v>
      </c>
      <c r="M1193" s="3">
        <v>0.03</v>
      </c>
      <c r="N1193" s="2">
        <v>3374.3</v>
      </c>
    </row>
    <row r="1194" spans="1:14" x14ac:dyDescent="0.3">
      <c r="A1194" t="s">
        <v>805</v>
      </c>
      <c r="B1194" s="1">
        <v>45221</v>
      </c>
      <c r="C1194" t="s">
        <v>710</v>
      </c>
      <c r="D1194" t="s">
        <v>16</v>
      </c>
      <c r="E1194" t="s">
        <v>26</v>
      </c>
      <c r="F1194" t="s">
        <v>40</v>
      </c>
      <c r="G1194" t="s">
        <v>41</v>
      </c>
      <c r="H1194" t="s">
        <v>42</v>
      </c>
      <c r="I1194" t="s">
        <v>43</v>
      </c>
      <c r="J1194" t="s">
        <v>30</v>
      </c>
      <c r="K1194" s="2">
        <v>47811.76</v>
      </c>
      <c r="L1194" s="4">
        <v>7</v>
      </c>
      <c r="M1194" s="3">
        <v>0.15</v>
      </c>
      <c r="N1194" s="2">
        <v>1195.29</v>
      </c>
    </row>
    <row r="1195" spans="1:14" x14ac:dyDescent="0.3">
      <c r="A1195" t="s">
        <v>861</v>
      </c>
      <c r="B1195" s="1">
        <v>45221</v>
      </c>
      <c r="C1195" t="s">
        <v>862</v>
      </c>
      <c r="D1195" t="s">
        <v>25</v>
      </c>
      <c r="E1195" t="s">
        <v>51</v>
      </c>
      <c r="F1195" t="s">
        <v>34</v>
      </c>
      <c r="G1195" t="s">
        <v>35</v>
      </c>
      <c r="H1195" t="s">
        <v>36</v>
      </c>
      <c r="I1195" t="s">
        <v>29</v>
      </c>
      <c r="J1195" t="s">
        <v>58</v>
      </c>
      <c r="K1195" s="2">
        <v>45868.53</v>
      </c>
      <c r="L1195" s="4">
        <v>7</v>
      </c>
      <c r="M1195" s="3">
        <v>0.18</v>
      </c>
      <c r="N1195" s="2">
        <v>458.69</v>
      </c>
    </row>
    <row r="1196" spans="1:14" x14ac:dyDescent="0.3">
      <c r="A1196" t="s">
        <v>685</v>
      </c>
      <c r="B1196" s="1">
        <v>45222</v>
      </c>
      <c r="C1196" t="s">
        <v>686</v>
      </c>
      <c r="D1196" t="s">
        <v>57</v>
      </c>
      <c r="E1196" t="s">
        <v>26</v>
      </c>
      <c r="F1196" t="s">
        <v>27</v>
      </c>
      <c r="G1196" t="s">
        <v>28</v>
      </c>
      <c r="H1196" t="s">
        <v>20</v>
      </c>
      <c r="I1196" t="s">
        <v>43</v>
      </c>
      <c r="J1196" t="s">
        <v>64</v>
      </c>
      <c r="K1196" s="2">
        <v>47229.3</v>
      </c>
      <c r="L1196" s="4">
        <v>9</v>
      </c>
      <c r="M1196" s="3">
        <v>0.25</v>
      </c>
      <c r="N1196" s="2">
        <v>-1180.73</v>
      </c>
    </row>
    <row r="1197" spans="1:14" x14ac:dyDescent="0.3">
      <c r="A1197" t="s">
        <v>1208</v>
      </c>
      <c r="B1197" s="1">
        <v>45222</v>
      </c>
      <c r="C1197" t="s">
        <v>220</v>
      </c>
      <c r="D1197" t="s">
        <v>16</v>
      </c>
      <c r="E1197" t="s">
        <v>51</v>
      </c>
      <c r="F1197" t="s">
        <v>27</v>
      </c>
      <c r="G1197" t="s">
        <v>28</v>
      </c>
      <c r="H1197" t="s">
        <v>20</v>
      </c>
      <c r="I1197" t="s">
        <v>29</v>
      </c>
      <c r="J1197" t="s">
        <v>58</v>
      </c>
      <c r="K1197" s="2">
        <v>13941.08</v>
      </c>
      <c r="L1197" s="4">
        <v>2</v>
      </c>
      <c r="M1197" s="3">
        <v>0.13</v>
      </c>
      <c r="N1197" s="2">
        <v>487.94</v>
      </c>
    </row>
    <row r="1198" spans="1:14" x14ac:dyDescent="0.3">
      <c r="A1198" t="s">
        <v>1667</v>
      </c>
      <c r="B1198" s="1">
        <v>45222</v>
      </c>
      <c r="C1198" t="s">
        <v>604</v>
      </c>
      <c r="D1198" t="s">
        <v>33</v>
      </c>
      <c r="E1198" t="s">
        <v>51</v>
      </c>
      <c r="F1198" t="s">
        <v>40</v>
      </c>
      <c r="G1198" t="s">
        <v>41</v>
      </c>
      <c r="H1198" t="s">
        <v>42</v>
      </c>
      <c r="I1198" t="s">
        <v>21</v>
      </c>
      <c r="J1198" t="s">
        <v>58</v>
      </c>
      <c r="K1198" s="2">
        <v>39574.82</v>
      </c>
      <c r="L1198" s="4">
        <v>5</v>
      </c>
      <c r="M1198" s="3">
        <v>0.08</v>
      </c>
      <c r="N1198" s="2">
        <v>2374.4899999999998</v>
      </c>
    </row>
    <row r="1199" spans="1:14" x14ac:dyDescent="0.3">
      <c r="A1199" t="s">
        <v>1859</v>
      </c>
      <c r="B1199" s="1">
        <v>45222</v>
      </c>
      <c r="C1199" t="s">
        <v>1860</v>
      </c>
      <c r="D1199" t="s">
        <v>16</v>
      </c>
      <c r="E1199" t="s">
        <v>51</v>
      </c>
      <c r="F1199" t="s">
        <v>18</v>
      </c>
      <c r="G1199" t="s">
        <v>19</v>
      </c>
      <c r="H1199" t="s">
        <v>20</v>
      </c>
      <c r="I1199" t="s">
        <v>21</v>
      </c>
      <c r="J1199" t="s">
        <v>22</v>
      </c>
      <c r="K1199" s="2">
        <v>39298.550000000003</v>
      </c>
      <c r="L1199" s="4">
        <v>2</v>
      </c>
      <c r="M1199" s="3">
        <v>0.19</v>
      </c>
      <c r="N1199" s="2">
        <v>196.49</v>
      </c>
    </row>
    <row r="1200" spans="1:14" x14ac:dyDescent="0.3">
      <c r="A1200" t="s">
        <v>2066</v>
      </c>
      <c r="B1200" s="1">
        <v>45222</v>
      </c>
      <c r="C1200" t="s">
        <v>616</v>
      </c>
      <c r="D1200" t="s">
        <v>25</v>
      </c>
      <c r="E1200" t="s">
        <v>26</v>
      </c>
      <c r="F1200" t="s">
        <v>18</v>
      </c>
      <c r="G1200" t="s">
        <v>19</v>
      </c>
      <c r="H1200" t="s">
        <v>20</v>
      </c>
      <c r="I1200" t="s">
        <v>21</v>
      </c>
      <c r="J1200" t="s">
        <v>58</v>
      </c>
      <c r="K1200" s="2">
        <v>11645.26</v>
      </c>
      <c r="L1200" s="4">
        <v>10</v>
      </c>
      <c r="M1200" s="3">
        <v>0.2</v>
      </c>
      <c r="N1200" s="2">
        <v>0</v>
      </c>
    </row>
    <row r="1201" spans="1:14" x14ac:dyDescent="0.3">
      <c r="A1201" t="s">
        <v>2037</v>
      </c>
      <c r="B1201" s="1">
        <v>45222</v>
      </c>
      <c r="C1201" t="s">
        <v>1536</v>
      </c>
      <c r="D1201" t="s">
        <v>33</v>
      </c>
      <c r="E1201" t="s">
        <v>51</v>
      </c>
      <c r="F1201" t="s">
        <v>34</v>
      </c>
      <c r="G1201" t="s">
        <v>35</v>
      </c>
      <c r="H1201" t="s">
        <v>36</v>
      </c>
      <c r="I1201" t="s">
        <v>29</v>
      </c>
      <c r="J1201" t="s">
        <v>54</v>
      </c>
      <c r="K1201" s="2">
        <v>25844.77</v>
      </c>
      <c r="L1201" s="4">
        <v>10</v>
      </c>
      <c r="M1201" s="3">
        <v>0.09</v>
      </c>
      <c r="N1201" s="2">
        <v>1421.46</v>
      </c>
    </row>
    <row r="1202" spans="1:14" x14ac:dyDescent="0.3">
      <c r="A1202" t="s">
        <v>115</v>
      </c>
      <c r="B1202" s="1">
        <v>45223</v>
      </c>
      <c r="C1202" t="s">
        <v>116</v>
      </c>
      <c r="D1202" t="s">
        <v>85</v>
      </c>
      <c r="E1202" t="s">
        <v>17</v>
      </c>
      <c r="F1202" t="s">
        <v>27</v>
      </c>
      <c r="G1202" t="s">
        <v>28</v>
      </c>
      <c r="H1202" t="s">
        <v>20</v>
      </c>
      <c r="I1202" t="s">
        <v>29</v>
      </c>
      <c r="J1202" t="s">
        <v>37</v>
      </c>
      <c r="K1202" s="2">
        <v>6104.66</v>
      </c>
      <c r="L1202" s="4">
        <v>2</v>
      </c>
      <c r="M1202" s="3">
        <v>0.23</v>
      </c>
      <c r="N1202" s="2">
        <v>-91.57</v>
      </c>
    </row>
    <row r="1203" spans="1:14" x14ac:dyDescent="0.3">
      <c r="A1203" t="s">
        <v>2171</v>
      </c>
      <c r="B1203" s="1">
        <v>45223</v>
      </c>
      <c r="C1203" t="s">
        <v>1438</v>
      </c>
      <c r="D1203" t="s">
        <v>33</v>
      </c>
      <c r="E1203" t="s">
        <v>51</v>
      </c>
      <c r="F1203" t="s">
        <v>18</v>
      </c>
      <c r="G1203" t="s">
        <v>19</v>
      </c>
      <c r="H1203" t="s">
        <v>20</v>
      </c>
      <c r="I1203" t="s">
        <v>43</v>
      </c>
      <c r="J1203" t="s">
        <v>58</v>
      </c>
      <c r="K1203" s="2">
        <v>31460.73</v>
      </c>
      <c r="L1203" s="4">
        <v>7</v>
      </c>
      <c r="M1203" s="3">
        <v>0.12</v>
      </c>
      <c r="N1203" s="2">
        <v>1258.43</v>
      </c>
    </row>
    <row r="1204" spans="1:14" x14ac:dyDescent="0.3">
      <c r="A1204" t="s">
        <v>1855</v>
      </c>
      <c r="B1204" s="1">
        <v>45223</v>
      </c>
      <c r="C1204" t="s">
        <v>550</v>
      </c>
      <c r="D1204" t="s">
        <v>85</v>
      </c>
      <c r="E1204" t="s">
        <v>51</v>
      </c>
      <c r="F1204" t="s">
        <v>34</v>
      </c>
      <c r="G1204" t="s">
        <v>35</v>
      </c>
      <c r="H1204" t="s">
        <v>36</v>
      </c>
      <c r="I1204" t="s">
        <v>43</v>
      </c>
      <c r="J1204" t="s">
        <v>37</v>
      </c>
      <c r="K1204" s="2">
        <v>14706.59</v>
      </c>
      <c r="L1204" s="4">
        <v>10</v>
      </c>
      <c r="M1204" s="3">
        <v>0.25</v>
      </c>
      <c r="N1204" s="2">
        <v>-367.66</v>
      </c>
    </row>
    <row r="1205" spans="1:14" x14ac:dyDescent="0.3">
      <c r="A1205" t="s">
        <v>1324</v>
      </c>
      <c r="B1205" s="1">
        <v>45224</v>
      </c>
      <c r="C1205" t="s">
        <v>1321</v>
      </c>
      <c r="D1205" t="s">
        <v>85</v>
      </c>
      <c r="E1205" t="s">
        <v>51</v>
      </c>
      <c r="F1205" t="s">
        <v>18</v>
      </c>
      <c r="G1205" t="s">
        <v>19</v>
      </c>
      <c r="H1205" t="s">
        <v>20</v>
      </c>
      <c r="I1205" t="s">
        <v>21</v>
      </c>
      <c r="J1205" t="s">
        <v>30</v>
      </c>
      <c r="K1205" s="2">
        <v>9994.85</v>
      </c>
      <c r="L1205" s="4">
        <v>3</v>
      </c>
      <c r="M1205" s="3">
        <v>0.06</v>
      </c>
      <c r="N1205" s="2">
        <v>699.64</v>
      </c>
    </row>
    <row r="1206" spans="1:14" x14ac:dyDescent="0.3">
      <c r="A1206" t="s">
        <v>1516</v>
      </c>
      <c r="B1206" s="1">
        <v>45224</v>
      </c>
      <c r="C1206" t="s">
        <v>601</v>
      </c>
      <c r="D1206" t="s">
        <v>33</v>
      </c>
      <c r="E1206" t="s">
        <v>17</v>
      </c>
      <c r="F1206" t="s">
        <v>46</v>
      </c>
      <c r="G1206" t="s">
        <v>46</v>
      </c>
      <c r="H1206" t="s">
        <v>47</v>
      </c>
      <c r="I1206" t="s">
        <v>29</v>
      </c>
      <c r="J1206" t="s">
        <v>54</v>
      </c>
      <c r="K1206" s="2">
        <v>15287.35</v>
      </c>
      <c r="L1206" s="4">
        <v>5</v>
      </c>
      <c r="M1206" s="3">
        <v>7.0000000000000007E-2</v>
      </c>
      <c r="N1206" s="2">
        <v>993.68</v>
      </c>
    </row>
    <row r="1207" spans="1:14" x14ac:dyDescent="0.3">
      <c r="A1207" t="s">
        <v>177</v>
      </c>
      <c r="B1207" s="1">
        <v>45224</v>
      </c>
      <c r="C1207" t="s">
        <v>178</v>
      </c>
      <c r="D1207" t="s">
        <v>50</v>
      </c>
      <c r="E1207" t="s">
        <v>51</v>
      </c>
      <c r="F1207" t="s">
        <v>18</v>
      </c>
      <c r="G1207" t="s">
        <v>19</v>
      </c>
      <c r="H1207" t="s">
        <v>20</v>
      </c>
      <c r="I1207" t="s">
        <v>29</v>
      </c>
      <c r="J1207" t="s">
        <v>64</v>
      </c>
      <c r="K1207" s="2">
        <v>30844.89</v>
      </c>
      <c r="L1207" s="4">
        <v>9</v>
      </c>
      <c r="M1207" s="3">
        <v>0.23</v>
      </c>
      <c r="N1207" s="2">
        <v>-462.67</v>
      </c>
    </row>
    <row r="1208" spans="1:14" x14ac:dyDescent="0.3">
      <c r="A1208" t="s">
        <v>1527</v>
      </c>
      <c r="B1208" s="1">
        <v>45224</v>
      </c>
      <c r="C1208" t="s">
        <v>860</v>
      </c>
      <c r="D1208" t="s">
        <v>57</v>
      </c>
      <c r="E1208" t="s">
        <v>26</v>
      </c>
      <c r="F1208" t="s">
        <v>46</v>
      </c>
      <c r="G1208" t="s">
        <v>46</v>
      </c>
      <c r="H1208" t="s">
        <v>47</v>
      </c>
      <c r="I1208" t="s">
        <v>29</v>
      </c>
      <c r="J1208" t="s">
        <v>58</v>
      </c>
      <c r="K1208" s="2">
        <v>31470.31</v>
      </c>
      <c r="L1208" s="4">
        <v>10</v>
      </c>
      <c r="M1208" s="3">
        <v>0.21</v>
      </c>
      <c r="N1208" s="2">
        <v>-157.35</v>
      </c>
    </row>
    <row r="1209" spans="1:14" x14ac:dyDescent="0.3">
      <c r="A1209" t="s">
        <v>2243</v>
      </c>
      <c r="B1209" s="1">
        <v>45225</v>
      </c>
      <c r="C1209" t="s">
        <v>1396</v>
      </c>
      <c r="D1209" t="s">
        <v>50</v>
      </c>
      <c r="E1209" t="s">
        <v>51</v>
      </c>
      <c r="F1209" t="s">
        <v>79</v>
      </c>
      <c r="G1209" t="s">
        <v>80</v>
      </c>
      <c r="H1209" t="s">
        <v>47</v>
      </c>
      <c r="I1209" t="s">
        <v>43</v>
      </c>
      <c r="J1209" t="s">
        <v>22</v>
      </c>
      <c r="K1209" s="2">
        <v>45801.26</v>
      </c>
      <c r="L1209" s="4">
        <v>4</v>
      </c>
      <c r="M1209" s="3">
        <v>0.04</v>
      </c>
      <c r="N1209" s="2">
        <v>3664.1</v>
      </c>
    </row>
    <row r="1210" spans="1:14" x14ac:dyDescent="0.3">
      <c r="A1210" t="s">
        <v>539</v>
      </c>
      <c r="B1210" s="1">
        <v>45225</v>
      </c>
      <c r="C1210" t="s">
        <v>540</v>
      </c>
      <c r="D1210" t="s">
        <v>85</v>
      </c>
      <c r="E1210" t="s">
        <v>51</v>
      </c>
      <c r="F1210" t="s">
        <v>34</v>
      </c>
      <c r="G1210" t="s">
        <v>35</v>
      </c>
      <c r="H1210" t="s">
        <v>36</v>
      </c>
      <c r="I1210" t="s">
        <v>43</v>
      </c>
      <c r="J1210" t="s">
        <v>58</v>
      </c>
      <c r="K1210" s="2">
        <v>19762.990000000002</v>
      </c>
      <c r="L1210" s="4">
        <v>3</v>
      </c>
      <c r="M1210" s="3">
        <v>0.25</v>
      </c>
      <c r="N1210" s="2">
        <v>-494.07</v>
      </c>
    </row>
    <row r="1211" spans="1:14" x14ac:dyDescent="0.3">
      <c r="A1211" t="s">
        <v>189</v>
      </c>
      <c r="B1211" s="1">
        <v>45226</v>
      </c>
      <c r="C1211" t="s">
        <v>190</v>
      </c>
      <c r="D1211" t="s">
        <v>85</v>
      </c>
      <c r="E1211" t="s">
        <v>26</v>
      </c>
      <c r="F1211" t="s">
        <v>40</v>
      </c>
      <c r="G1211" t="s">
        <v>41</v>
      </c>
      <c r="H1211" t="s">
        <v>42</v>
      </c>
      <c r="I1211" t="s">
        <v>29</v>
      </c>
      <c r="J1211" t="s">
        <v>58</v>
      </c>
      <c r="K1211" s="2">
        <v>2648.16</v>
      </c>
      <c r="L1211" s="4">
        <v>7</v>
      </c>
      <c r="M1211" s="3">
        <v>0.2</v>
      </c>
      <c r="N1211" s="2">
        <v>0</v>
      </c>
    </row>
    <row r="1212" spans="1:14" x14ac:dyDescent="0.3">
      <c r="A1212" t="s">
        <v>412</v>
      </c>
      <c r="B1212" s="1">
        <v>45226</v>
      </c>
      <c r="C1212" t="s">
        <v>413</v>
      </c>
      <c r="D1212" t="s">
        <v>33</v>
      </c>
      <c r="E1212" t="s">
        <v>26</v>
      </c>
      <c r="F1212" t="s">
        <v>46</v>
      </c>
      <c r="G1212" t="s">
        <v>46</v>
      </c>
      <c r="H1212" t="s">
        <v>47</v>
      </c>
      <c r="I1212" t="s">
        <v>43</v>
      </c>
      <c r="J1212" t="s">
        <v>58</v>
      </c>
      <c r="K1212" s="2">
        <v>21232.31</v>
      </c>
      <c r="L1212" s="4">
        <v>9</v>
      </c>
      <c r="M1212" s="3">
        <v>0.25</v>
      </c>
      <c r="N1212" s="2">
        <v>-530.80999999999995</v>
      </c>
    </row>
    <row r="1213" spans="1:14" x14ac:dyDescent="0.3">
      <c r="A1213" t="s">
        <v>1018</v>
      </c>
      <c r="B1213" s="1">
        <v>45226</v>
      </c>
      <c r="C1213" t="s">
        <v>138</v>
      </c>
      <c r="D1213" t="s">
        <v>16</v>
      </c>
      <c r="E1213" t="s">
        <v>51</v>
      </c>
      <c r="F1213" t="s">
        <v>27</v>
      </c>
      <c r="G1213" t="s">
        <v>28</v>
      </c>
      <c r="H1213" t="s">
        <v>20</v>
      </c>
      <c r="I1213" t="s">
        <v>43</v>
      </c>
      <c r="J1213" t="s">
        <v>106</v>
      </c>
      <c r="K1213" s="2">
        <v>41397.730000000003</v>
      </c>
      <c r="L1213" s="4">
        <v>4</v>
      </c>
      <c r="M1213" s="3">
        <v>0.25</v>
      </c>
      <c r="N1213" s="2">
        <v>-1034.94</v>
      </c>
    </row>
    <row r="1214" spans="1:14" x14ac:dyDescent="0.3">
      <c r="A1214" t="s">
        <v>1871</v>
      </c>
      <c r="B1214" s="1">
        <v>45226</v>
      </c>
      <c r="C1214" t="s">
        <v>1174</v>
      </c>
      <c r="D1214" t="s">
        <v>33</v>
      </c>
      <c r="E1214" t="s">
        <v>26</v>
      </c>
      <c r="F1214" t="s">
        <v>40</v>
      </c>
      <c r="G1214" t="s">
        <v>41</v>
      </c>
      <c r="H1214" t="s">
        <v>42</v>
      </c>
      <c r="I1214" t="s">
        <v>29</v>
      </c>
      <c r="J1214" t="s">
        <v>58</v>
      </c>
      <c r="K1214" s="2">
        <v>30891.439999999999</v>
      </c>
      <c r="L1214" s="4">
        <v>7</v>
      </c>
      <c r="M1214" s="3">
        <v>0.18</v>
      </c>
      <c r="N1214" s="2">
        <v>308.91000000000003</v>
      </c>
    </row>
    <row r="1215" spans="1:14" x14ac:dyDescent="0.3">
      <c r="A1215" t="s">
        <v>240</v>
      </c>
      <c r="B1215" s="1">
        <v>45227</v>
      </c>
      <c r="C1215" t="s">
        <v>118</v>
      </c>
      <c r="D1215" t="s">
        <v>33</v>
      </c>
      <c r="E1215" t="s">
        <v>26</v>
      </c>
      <c r="F1215" t="s">
        <v>46</v>
      </c>
      <c r="G1215" t="s">
        <v>46</v>
      </c>
      <c r="H1215" t="s">
        <v>47</v>
      </c>
      <c r="I1215" t="s">
        <v>43</v>
      </c>
      <c r="J1215" t="s">
        <v>106</v>
      </c>
      <c r="K1215" s="2">
        <v>17398.939999999999</v>
      </c>
      <c r="L1215" s="4">
        <v>8</v>
      </c>
      <c r="M1215" s="3">
        <v>0.02</v>
      </c>
      <c r="N1215" s="2">
        <v>1565.9</v>
      </c>
    </row>
    <row r="1216" spans="1:14" x14ac:dyDescent="0.3">
      <c r="A1216" t="s">
        <v>260</v>
      </c>
      <c r="B1216" s="1">
        <v>45227</v>
      </c>
      <c r="C1216" t="s">
        <v>116</v>
      </c>
      <c r="D1216" t="s">
        <v>25</v>
      </c>
      <c r="E1216" t="s">
        <v>17</v>
      </c>
      <c r="F1216" t="s">
        <v>46</v>
      </c>
      <c r="G1216" t="s">
        <v>46</v>
      </c>
      <c r="H1216" t="s">
        <v>47</v>
      </c>
      <c r="I1216" t="s">
        <v>21</v>
      </c>
      <c r="J1216" t="s">
        <v>106</v>
      </c>
      <c r="K1216" s="2">
        <v>23235.64</v>
      </c>
      <c r="L1216" s="4">
        <v>10</v>
      </c>
      <c r="M1216" s="3">
        <v>0.24</v>
      </c>
      <c r="N1216" s="2">
        <v>-464.71</v>
      </c>
    </row>
    <row r="1217" spans="1:14" x14ac:dyDescent="0.3">
      <c r="A1217" t="s">
        <v>407</v>
      </c>
      <c r="B1217" s="1">
        <v>45227</v>
      </c>
      <c r="C1217" t="s">
        <v>408</v>
      </c>
      <c r="D1217" t="s">
        <v>33</v>
      </c>
      <c r="E1217" t="s">
        <v>26</v>
      </c>
      <c r="F1217" t="s">
        <v>40</v>
      </c>
      <c r="G1217" t="s">
        <v>41</v>
      </c>
      <c r="H1217" t="s">
        <v>42</v>
      </c>
      <c r="I1217" t="s">
        <v>43</v>
      </c>
      <c r="J1217" t="s">
        <v>37</v>
      </c>
      <c r="K1217" s="2">
        <v>4227.2</v>
      </c>
      <c r="L1217" s="4">
        <v>6</v>
      </c>
      <c r="M1217" s="3">
        <v>0.17</v>
      </c>
      <c r="N1217" s="2">
        <v>63.41</v>
      </c>
    </row>
    <row r="1218" spans="1:14" x14ac:dyDescent="0.3">
      <c r="A1218" t="s">
        <v>803</v>
      </c>
      <c r="B1218" s="1">
        <v>45227</v>
      </c>
      <c r="C1218" t="s">
        <v>804</v>
      </c>
      <c r="D1218" t="s">
        <v>50</v>
      </c>
      <c r="E1218" t="s">
        <v>17</v>
      </c>
      <c r="F1218" t="s">
        <v>18</v>
      </c>
      <c r="G1218" t="s">
        <v>19</v>
      </c>
      <c r="H1218" t="s">
        <v>20</v>
      </c>
      <c r="I1218" t="s">
        <v>29</v>
      </c>
      <c r="J1218" t="s">
        <v>54</v>
      </c>
      <c r="K1218" s="2">
        <v>19440.05</v>
      </c>
      <c r="L1218" s="4">
        <v>7</v>
      </c>
      <c r="M1218" s="3">
        <v>0.09</v>
      </c>
      <c r="N1218" s="2">
        <v>1069.2</v>
      </c>
    </row>
    <row r="1219" spans="1:14" x14ac:dyDescent="0.3">
      <c r="A1219" t="s">
        <v>1471</v>
      </c>
      <c r="B1219" s="1">
        <v>45227</v>
      </c>
      <c r="C1219" t="s">
        <v>453</v>
      </c>
      <c r="D1219" t="s">
        <v>85</v>
      </c>
      <c r="E1219" t="s">
        <v>51</v>
      </c>
      <c r="F1219" t="s">
        <v>34</v>
      </c>
      <c r="G1219" t="s">
        <v>35</v>
      </c>
      <c r="H1219" t="s">
        <v>36</v>
      </c>
      <c r="I1219" t="s">
        <v>29</v>
      </c>
      <c r="J1219" t="s">
        <v>37</v>
      </c>
      <c r="K1219" s="2">
        <v>9510.7000000000007</v>
      </c>
      <c r="L1219" s="4">
        <v>8</v>
      </c>
      <c r="M1219" s="3">
        <v>0.02</v>
      </c>
      <c r="N1219" s="2">
        <v>855.96</v>
      </c>
    </row>
    <row r="1220" spans="1:14" x14ac:dyDescent="0.3">
      <c r="A1220" t="s">
        <v>2218</v>
      </c>
      <c r="B1220" s="1">
        <v>45227</v>
      </c>
      <c r="C1220" t="s">
        <v>765</v>
      </c>
      <c r="D1220" t="s">
        <v>33</v>
      </c>
      <c r="E1220" t="s">
        <v>51</v>
      </c>
      <c r="F1220" t="s">
        <v>46</v>
      </c>
      <c r="G1220" t="s">
        <v>46</v>
      </c>
      <c r="H1220" t="s">
        <v>47</v>
      </c>
      <c r="I1220" t="s">
        <v>29</v>
      </c>
      <c r="J1220" t="s">
        <v>22</v>
      </c>
      <c r="K1220" s="2">
        <v>44830.239999999998</v>
      </c>
      <c r="L1220" s="4">
        <v>1</v>
      </c>
      <c r="M1220" s="3">
        <v>0.11</v>
      </c>
      <c r="N1220" s="2">
        <v>2017.36</v>
      </c>
    </row>
    <row r="1221" spans="1:14" x14ac:dyDescent="0.3">
      <c r="A1221" t="s">
        <v>1878</v>
      </c>
      <c r="B1221" s="1">
        <v>45227</v>
      </c>
      <c r="C1221" t="s">
        <v>1465</v>
      </c>
      <c r="D1221" t="s">
        <v>33</v>
      </c>
      <c r="E1221" t="s">
        <v>17</v>
      </c>
      <c r="F1221" t="s">
        <v>34</v>
      </c>
      <c r="G1221" t="s">
        <v>35</v>
      </c>
      <c r="H1221" t="s">
        <v>36</v>
      </c>
      <c r="I1221" t="s">
        <v>43</v>
      </c>
      <c r="J1221" t="s">
        <v>106</v>
      </c>
      <c r="K1221" s="2">
        <v>23543.57</v>
      </c>
      <c r="L1221" s="4">
        <v>5</v>
      </c>
      <c r="M1221" s="3">
        <v>0.08</v>
      </c>
      <c r="N1221" s="2">
        <v>1412.61</v>
      </c>
    </row>
    <row r="1222" spans="1:14" x14ac:dyDescent="0.3">
      <c r="A1222" t="s">
        <v>640</v>
      </c>
      <c r="B1222" s="1">
        <v>45227</v>
      </c>
      <c r="C1222" t="s">
        <v>641</v>
      </c>
      <c r="D1222" t="s">
        <v>16</v>
      </c>
      <c r="E1222" t="s">
        <v>51</v>
      </c>
      <c r="F1222" t="s">
        <v>46</v>
      </c>
      <c r="G1222" t="s">
        <v>46</v>
      </c>
      <c r="H1222" t="s">
        <v>47</v>
      </c>
      <c r="I1222" t="s">
        <v>21</v>
      </c>
      <c r="J1222" t="s">
        <v>37</v>
      </c>
      <c r="K1222" s="2">
        <v>31210.66</v>
      </c>
      <c r="L1222" s="4">
        <v>3</v>
      </c>
      <c r="M1222" s="3">
        <v>0.25</v>
      </c>
      <c r="N1222" s="2">
        <v>-780.27</v>
      </c>
    </row>
    <row r="1223" spans="1:14" x14ac:dyDescent="0.3">
      <c r="A1223" t="s">
        <v>2051</v>
      </c>
      <c r="B1223" s="1">
        <v>45227</v>
      </c>
      <c r="C1223" t="s">
        <v>1081</v>
      </c>
      <c r="D1223" t="s">
        <v>57</v>
      </c>
      <c r="E1223" t="s">
        <v>17</v>
      </c>
      <c r="F1223" t="s">
        <v>79</v>
      </c>
      <c r="G1223" t="s">
        <v>80</v>
      </c>
      <c r="H1223" t="s">
        <v>47</v>
      </c>
      <c r="I1223" t="s">
        <v>29</v>
      </c>
      <c r="J1223" t="s">
        <v>30</v>
      </c>
      <c r="K1223" s="2">
        <v>29138.06</v>
      </c>
      <c r="L1223" s="4">
        <v>2</v>
      </c>
      <c r="M1223" s="3">
        <v>0.14000000000000001</v>
      </c>
      <c r="N1223" s="2">
        <v>874.14</v>
      </c>
    </row>
    <row r="1224" spans="1:14" x14ac:dyDescent="0.3">
      <c r="A1224" t="s">
        <v>383</v>
      </c>
      <c r="B1224" s="1">
        <v>45228</v>
      </c>
      <c r="C1224" t="s">
        <v>384</v>
      </c>
      <c r="D1224" t="s">
        <v>57</v>
      </c>
      <c r="E1224" t="s">
        <v>51</v>
      </c>
      <c r="F1224" t="s">
        <v>34</v>
      </c>
      <c r="G1224" t="s">
        <v>35</v>
      </c>
      <c r="H1224" t="s">
        <v>36</v>
      </c>
      <c r="I1224" t="s">
        <v>21</v>
      </c>
      <c r="J1224" t="s">
        <v>58</v>
      </c>
      <c r="K1224" s="2">
        <v>17165.400000000001</v>
      </c>
      <c r="L1224" s="4">
        <v>7</v>
      </c>
      <c r="M1224" s="3">
        <v>0.28999999999999998</v>
      </c>
      <c r="N1224" s="2">
        <v>-772.44</v>
      </c>
    </row>
    <row r="1225" spans="1:14" x14ac:dyDescent="0.3">
      <c r="A1225" t="s">
        <v>1451</v>
      </c>
      <c r="B1225" s="1">
        <v>45228</v>
      </c>
      <c r="C1225" t="s">
        <v>1452</v>
      </c>
      <c r="D1225" t="s">
        <v>50</v>
      </c>
      <c r="E1225" t="s">
        <v>51</v>
      </c>
      <c r="F1225" t="s">
        <v>46</v>
      </c>
      <c r="G1225" t="s">
        <v>46</v>
      </c>
      <c r="H1225" t="s">
        <v>47</v>
      </c>
      <c r="I1225" t="s">
        <v>43</v>
      </c>
      <c r="J1225" t="s">
        <v>30</v>
      </c>
      <c r="K1225" s="2">
        <v>15701.15</v>
      </c>
      <c r="L1225" s="4">
        <v>1</v>
      </c>
      <c r="M1225" s="3">
        <v>0</v>
      </c>
      <c r="N1225" s="2">
        <v>1570.12</v>
      </c>
    </row>
    <row r="1226" spans="1:14" x14ac:dyDescent="0.3">
      <c r="A1226" t="s">
        <v>2210</v>
      </c>
      <c r="B1226" s="1">
        <v>45228</v>
      </c>
      <c r="C1226" t="s">
        <v>583</v>
      </c>
      <c r="D1226" t="s">
        <v>25</v>
      </c>
      <c r="E1226" t="s">
        <v>17</v>
      </c>
      <c r="F1226" t="s">
        <v>79</v>
      </c>
      <c r="G1226" t="s">
        <v>80</v>
      </c>
      <c r="H1226" t="s">
        <v>47</v>
      </c>
      <c r="I1226" t="s">
        <v>43</v>
      </c>
      <c r="J1226" t="s">
        <v>22</v>
      </c>
      <c r="K1226" s="2">
        <v>24625.439999999999</v>
      </c>
      <c r="L1226" s="4">
        <v>8</v>
      </c>
      <c r="M1226" s="3">
        <v>0.06</v>
      </c>
      <c r="N1226" s="2">
        <v>1723.78</v>
      </c>
    </row>
    <row r="1227" spans="1:14" x14ac:dyDescent="0.3">
      <c r="A1227" t="s">
        <v>2033</v>
      </c>
      <c r="B1227" s="1">
        <v>45228</v>
      </c>
      <c r="C1227" t="s">
        <v>1285</v>
      </c>
      <c r="D1227" t="s">
        <v>16</v>
      </c>
      <c r="E1227" t="s">
        <v>26</v>
      </c>
      <c r="F1227" t="s">
        <v>79</v>
      </c>
      <c r="G1227" t="s">
        <v>80</v>
      </c>
      <c r="H1227" t="s">
        <v>47</v>
      </c>
      <c r="I1227" t="s">
        <v>29</v>
      </c>
      <c r="J1227" t="s">
        <v>106</v>
      </c>
      <c r="K1227" s="2">
        <v>10438.290000000001</v>
      </c>
      <c r="L1227" s="4">
        <v>8</v>
      </c>
      <c r="M1227" s="3">
        <v>0.02</v>
      </c>
      <c r="N1227" s="2">
        <v>939.45</v>
      </c>
    </row>
    <row r="1228" spans="1:14" x14ac:dyDescent="0.3">
      <c r="A1228" t="s">
        <v>368</v>
      </c>
      <c r="B1228" s="1">
        <v>45229</v>
      </c>
      <c r="C1228" t="s">
        <v>369</v>
      </c>
      <c r="D1228" t="s">
        <v>85</v>
      </c>
      <c r="E1228" t="s">
        <v>51</v>
      </c>
      <c r="F1228" t="s">
        <v>46</v>
      </c>
      <c r="G1228" t="s">
        <v>46</v>
      </c>
      <c r="H1228" t="s">
        <v>47</v>
      </c>
      <c r="I1228" t="s">
        <v>29</v>
      </c>
      <c r="J1228" t="s">
        <v>37</v>
      </c>
      <c r="K1228" s="2">
        <v>39422.449999999997</v>
      </c>
      <c r="L1228" s="4">
        <v>9</v>
      </c>
      <c r="M1228" s="3">
        <v>0.24</v>
      </c>
      <c r="N1228" s="2">
        <v>-788.45</v>
      </c>
    </row>
    <row r="1229" spans="1:14" x14ac:dyDescent="0.3">
      <c r="A1229" t="s">
        <v>646</v>
      </c>
      <c r="B1229" s="1">
        <v>45229</v>
      </c>
      <c r="C1229" t="s">
        <v>158</v>
      </c>
      <c r="D1229" t="s">
        <v>85</v>
      </c>
      <c r="E1229" t="s">
        <v>26</v>
      </c>
      <c r="F1229" t="s">
        <v>46</v>
      </c>
      <c r="G1229" t="s">
        <v>46</v>
      </c>
      <c r="H1229" t="s">
        <v>47</v>
      </c>
      <c r="I1229" t="s">
        <v>21</v>
      </c>
      <c r="J1229" t="s">
        <v>37</v>
      </c>
      <c r="K1229" s="2">
        <v>26080.99</v>
      </c>
      <c r="L1229" s="4">
        <v>4</v>
      </c>
      <c r="M1229" s="3">
        <v>0.24</v>
      </c>
      <c r="N1229" s="2">
        <v>-521.62</v>
      </c>
    </row>
    <row r="1230" spans="1:14" x14ac:dyDescent="0.3">
      <c r="A1230" t="s">
        <v>715</v>
      </c>
      <c r="B1230" s="1">
        <v>45229</v>
      </c>
      <c r="C1230" t="s">
        <v>716</v>
      </c>
      <c r="D1230" t="s">
        <v>85</v>
      </c>
      <c r="E1230" t="s">
        <v>17</v>
      </c>
      <c r="F1230" t="s">
        <v>34</v>
      </c>
      <c r="G1230" t="s">
        <v>35</v>
      </c>
      <c r="H1230" t="s">
        <v>36</v>
      </c>
      <c r="I1230" t="s">
        <v>43</v>
      </c>
      <c r="J1230" t="s">
        <v>58</v>
      </c>
      <c r="K1230" s="2">
        <v>15516.59</v>
      </c>
      <c r="L1230" s="4">
        <v>4</v>
      </c>
      <c r="M1230" s="3">
        <v>0.13</v>
      </c>
      <c r="N1230" s="2">
        <v>543.08000000000004</v>
      </c>
    </row>
    <row r="1231" spans="1:14" x14ac:dyDescent="0.3">
      <c r="A1231" t="s">
        <v>1818</v>
      </c>
      <c r="B1231" s="1">
        <v>45229</v>
      </c>
      <c r="C1231" t="s">
        <v>648</v>
      </c>
      <c r="D1231" t="s">
        <v>61</v>
      </c>
      <c r="E1231" t="s">
        <v>26</v>
      </c>
      <c r="F1231" t="s">
        <v>34</v>
      </c>
      <c r="G1231" t="s">
        <v>35</v>
      </c>
      <c r="H1231" t="s">
        <v>36</v>
      </c>
      <c r="I1231" t="s">
        <v>29</v>
      </c>
      <c r="J1231" t="s">
        <v>37</v>
      </c>
      <c r="K1231" s="2">
        <v>2107.88</v>
      </c>
      <c r="L1231" s="4">
        <v>8</v>
      </c>
      <c r="M1231" s="3">
        <v>0.25</v>
      </c>
      <c r="N1231" s="2">
        <v>-52.7</v>
      </c>
    </row>
    <row r="1232" spans="1:14" x14ac:dyDescent="0.3">
      <c r="A1232" t="s">
        <v>1880</v>
      </c>
      <c r="B1232" s="1">
        <v>45229</v>
      </c>
      <c r="C1232" t="s">
        <v>1881</v>
      </c>
      <c r="D1232" t="s">
        <v>85</v>
      </c>
      <c r="E1232" t="s">
        <v>51</v>
      </c>
      <c r="F1232" t="s">
        <v>34</v>
      </c>
      <c r="G1232" t="s">
        <v>35</v>
      </c>
      <c r="H1232" t="s">
        <v>36</v>
      </c>
      <c r="I1232" t="s">
        <v>21</v>
      </c>
      <c r="J1232" t="s">
        <v>64</v>
      </c>
      <c r="K1232" s="2">
        <v>9769.5400000000009</v>
      </c>
      <c r="L1232" s="4">
        <v>6</v>
      </c>
      <c r="M1232" s="3">
        <v>0.22</v>
      </c>
      <c r="N1232" s="2">
        <v>-97.7</v>
      </c>
    </row>
    <row r="1233" spans="1:14" x14ac:dyDescent="0.3">
      <c r="A1233" t="s">
        <v>374</v>
      </c>
      <c r="B1233" s="1">
        <v>45230</v>
      </c>
      <c r="C1233" t="s">
        <v>375</v>
      </c>
      <c r="D1233" t="s">
        <v>61</v>
      </c>
      <c r="E1233" t="s">
        <v>51</v>
      </c>
      <c r="F1233" t="s">
        <v>79</v>
      </c>
      <c r="G1233" t="s">
        <v>80</v>
      </c>
      <c r="H1233" t="s">
        <v>47</v>
      </c>
      <c r="I1233" t="s">
        <v>21</v>
      </c>
      <c r="J1233" t="s">
        <v>106</v>
      </c>
      <c r="K1233" s="2">
        <v>34843.53</v>
      </c>
      <c r="L1233" s="4">
        <v>10</v>
      </c>
      <c r="M1233" s="3">
        <v>0.17</v>
      </c>
      <c r="N1233" s="2">
        <v>522.65</v>
      </c>
    </row>
    <row r="1234" spans="1:14" x14ac:dyDescent="0.3">
      <c r="A1234" t="s">
        <v>829</v>
      </c>
      <c r="B1234" s="1">
        <v>45230</v>
      </c>
      <c r="C1234" t="s">
        <v>830</v>
      </c>
      <c r="D1234" t="s">
        <v>57</v>
      </c>
      <c r="E1234" t="s">
        <v>26</v>
      </c>
      <c r="F1234" t="s">
        <v>40</v>
      </c>
      <c r="G1234" t="s">
        <v>41</v>
      </c>
      <c r="H1234" t="s">
        <v>42</v>
      </c>
      <c r="I1234" t="s">
        <v>21</v>
      </c>
      <c r="J1234" t="s">
        <v>22</v>
      </c>
      <c r="K1234" s="2">
        <v>9514.5499999999993</v>
      </c>
      <c r="L1234" s="4">
        <v>3</v>
      </c>
      <c r="M1234" s="3">
        <v>0.02</v>
      </c>
      <c r="N1234" s="2">
        <v>856.31</v>
      </c>
    </row>
    <row r="1235" spans="1:14" x14ac:dyDescent="0.3">
      <c r="A1235" t="s">
        <v>1568</v>
      </c>
      <c r="B1235" s="1">
        <v>45230</v>
      </c>
      <c r="C1235" t="s">
        <v>252</v>
      </c>
      <c r="D1235" t="s">
        <v>57</v>
      </c>
      <c r="E1235" t="s">
        <v>51</v>
      </c>
      <c r="F1235" t="s">
        <v>18</v>
      </c>
      <c r="G1235" t="s">
        <v>19</v>
      </c>
      <c r="H1235" t="s">
        <v>20</v>
      </c>
      <c r="I1235" t="s">
        <v>43</v>
      </c>
      <c r="J1235" t="s">
        <v>37</v>
      </c>
      <c r="K1235" s="2">
        <v>11729.03</v>
      </c>
      <c r="L1235" s="4">
        <v>9</v>
      </c>
      <c r="M1235" s="3">
        <v>0.16</v>
      </c>
      <c r="N1235" s="2">
        <v>234.58</v>
      </c>
    </row>
    <row r="1236" spans="1:14" x14ac:dyDescent="0.3">
      <c r="A1236" t="s">
        <v>2049</v>
      </c>
      <c r="B1236" s="1">
        <v>45230</v>
      </c>
      <c r="C1236" t="s">
        <v>950</v>
      </c>
      <c r="D1236" t="s">
        <v>50</v>
      </c>
      <c r="E1236" t="s">
        <v>26</v>
      </c>
      <c r="F1236" t="s">
        <v>40</v>
      </c>
      <c r="G1236" t="s">
        <v>41</v>
      </c>
      <c r="H1236" t="s">
        <v>42</v>
      </c>
      <c r="I1236" t="s">
        <v>43</v>
      </c>
      <c r="J1236" t="s">
        <v>30</v>
      </c>
      <c r="K1236" s="2">
        <v>6718.5</v>
      </c>
      <c r="L1236" s="4">
        <v>4</v>
      </c>
      <c r="M1236" s="3">
        <v>0.06</v>
      </c>
      <c r="N1236" s="2">
        <v>470.3</v>
      </c>
    </row>
    <row r="1237" spans="1:14" x14ac:dyDescent="0.3">
      <c r="A1237" t="s">
        <v>611</v>
      </c>
      <c r="B1237" s="1">
        <v>45230</v>
      </c>
      <c r="C1237" t="s">
        <v>612</v>
      </c>
      <c r="D1237" t="s">
        <v>85</v>
      </c>
      <c r="E1237" t="s">
        <v>17</v>
      </c>
      <c r="F1237" t="s">
        <v>18</v>
      </c>
      <c r="G1237" t="s">
        <v>19</v>
      </c>
      <c r="H1237" t="s">
        <v>20</v>
      </c>
      <c r="I1237" t="s">
        <v>43</v>
      </c>
      <c r="J1237" t="s">
        <v>106</v>
      </c>
      <c r="K1237" s="2">
        <v>22752.89</v>
      </c>
      <c r="L1237" s="4">
        <v>1</v>
      </c>
      <c r="M1237" s="3">
        <v>7.0000000000000007E-2</v>
      </c>
      <c r="N1237" s="2">
        <v>1478.94</v>
      </c>
    </row>
    <row r="1238" spans="1:14" x14ac:dyDescent="0.3">
      <c r="A1238" t="s">
        <v>1456</v>
      </c>
      <c r="B1238" s="1">
        <v>45231</v>
      </c>
      <c r="C1238" t="s">
        <v>1063</v>
      </c>
      <c r="D1238" t="s">
        <v>50</v>
      </c>
      <c r="E1238" t="s">
        <v>17</v>
      </c>
      <c r="F1238" t="s">
        <v>46</v>
      </c>
      <c r="G1238" t="s">
        <v>46</v>
      </c>
      <c r="H1238" t="s">
        <v>47</v>
      </c>
      <c r="I1238" t="s">
        <v>21</v>
      </c>
      <c r="J1238" t="s">
        <v>64</v>
      </c>
      <c r="K1238" s="2">
        <v>26991.14</v>
      </c>
      <c r="L1238" s="4">
        <v>5</v>
      </c>
      <c r="M1238" s="3">
        <v>0.18</v>
      </c>
      <c r="N1238" s="2">
        <v>269.91000000000003</v>
      </c>
    </row>
    <row r="1239" spans="1:14" x14ac:dyDescent="0.3">
      <c r="A1239" t="s">
        <v>1537</v>
      </c>
      <c r="B1239" s="1">
        <v>45231</v>
      </c>
      <c r="C1239" t="s">
        <v>214</v>
      </c>
      <c r="D1239" t="s">
        <v>85</v>
      </c>
      <c r="E1239" t="s">
        <v>26</v>
      </c>
      <c r="F1239" t="s">
        <v>27</v>
      </c>
      <c r="G1239" t="s">
        <v>28</v>
      </c>
      <c r="H1239" t="s">
        <v>20</v>
      </c>
      <c r="I1239" t="s">
        <v>43</v>
      </c>
      <c r="J1239" t="s">
        <v>22</v>
      </c>
      <c r="K1239" s="2">
        <v>38685.620000000003</v>
      </c>
      <c r="L1239" s="4">
        <v>7</v>
      </c>
      <c r="M1239" s="3">
        <v>0.28000000000000003</v>
      </c>
      <c r="N1239" s="2">
        <v>-1547.42</v>
      </c>
    </row>
    <row r="1240" spans="1:14" x14ac:dyDescent="0.3">
      <c r="A1240" t="s">
        <v>2093</v>
      </c>
      <c r="B1240" s="1">
        <v>45231</v>
      </c>
      <c r="C1240" t="s">
        <v>417</v>
      </c>
      <c r="D1240" t="s">
        <v>85</v>
      </c>
      <c r="E1240" t="s">
        <v>26</v>
      </c>
      <c r="F1240" t="s">
        <v>79</v>
      </c>
      <c r="G1240" t="s">
        <v>80</v>
      </c>
      <c r="H1240" t="s">
        <v>47</v>
      </c>
      <c r="I1240" t="s">
        <v>21</v>
      </c>
      <c r="J1240" t="s">
        <v>58</v>
      </c>
      <c r="K1240" s="2">
        <v>7734.48</v>
      </c>
      <c r="L1240" s="4">
        <v>2</v>
      </c>
      <c r="M1240" s="3">
        <v>0.11</v>
      </c>
      <c r="N1240" s="2">
        <v>348.05</v>
      </c>
    </row>
    <row r="1241" spans="1:14" x14ac:dyDescent="0.3">
      <c r="A1241" t="s">
        <v>205</v>
      </c>
      <c r="B1241" s="1">
        <v>45231</v>
      </c>
      <c r="C1241" t="s">
        <v>206</v>
      </c>
      <c r="D1241" t="s">
        <v>25</v>
      </c>
      <c r="E1241" t="s">
        <v>26</v>
      </c>
      <c r="F1241" t="s">
        <v>27</v>
      </c>
      <c r="G1241" t="s">
        <v>28</v>
      </c>
      <c r="H1241" t="s">
        <v>20</v>
      </c>
      <c r="I1241" t="s">
        <v>29</v>
      </c>
      <c r="J1241" t="s">
        <v>54</v>
      </c>
      <c r="K1241" s="2">
        <v>27650.91</v>
      </c>
      <c r="L1241" s="4">
        <v>2</v>
      </c>
      <c r="M1241" s="3">
        <v>0.24</v>
      </c>
      <c r="N1241" s="2">
        <v>-553.02</v>
      </c>
    </row>
    <row r="1242" spans="1:14" x14ac:dyDescent="0.3">
      <c r="A1242" t="s">
        <v>1933</v>
      </c>
      <c r="B1242" s="1">
        <v>45231</v>
      </c>
      <c r="C1242" t="s">
        <v>1056</v>
      </c>
      <c r="D1242" t="s">
        <v>57</v>
      </c>
      <c r="E1242" t="s">
        <v>26</v>
      </c>
      <c r="F1242" t="s">
        <v>40</v>
      </c>
      <c r="G1242" t="s">
        <v>41</v>
      </c>
      <c r="H1242" t="s">
        <v>42</v>
      </c>
      <c r="I1242" t="s">
        <v>29</v>
      </c>
      <c r="J1242" t="s">
        <v>106</v>
      </c>
      <c r="K1242" s="2">
        <v>40092.67</v>
      </c>
      <c r="L1242" s="4">
        <v>6</v>
      </c>
      <c r="M1242" s="3">
        <v>0.24</v>
      </c>
      <c r="N1242" s="2">
        <v>-801.85</v>
      </c>
    </row>
    <row r="1243" spans="1:14" x14ac:dyDescent="0.3">
      <c r="A1243" t="s">
        <v>968</v>
      </c>
      <c r="B1243" s="1">
        <v>45232</v>
      </c>
      <c r="C1243" t="s">
        <v>969</v>
      </c>
      <c r="D1243" t="s">
        <v>85</v>
      </c>
      <c r="E1243" t="s">
        <v>17</v>
      </c>
      <c r="F1243" t="s">
        <v>18</v>
      </c>
      <c r="G1243" t="s">
        <v>19</v>
      </c>
      <c r="H1243" t="s">
        <v>20</v>
      </c>
      <c r="I1243" t="s">
        <v>21</v>
      </c>
      <c r="J1243" t="s">
        <v>22</v>
      </c>
      <c r="K1243" s="2">
        <v>14085.35</v>
      </c>
      <c r="L1243" s="4">
        <v>5</v>
      </c>
      <c r="M1243" s="3">
        <v>0</v>
      </c>
      <c r="N1243" s="2">
        <v>1408.54</v>
      </c>
    </row>
    <row r="1244" spans="1:14" x14ac:dyDescent="0.3">
      <c r="A1244" t="s">
        <v>1920</v>
      </c>
      <c r="B1244" s="1">
        <v>45232</v>
      </c>
      <c r="C1244" t="s">
        <v>367</v>
      </c>
      <c r="D1244" t="s">
        <v>85</v>
      </c>
      <c r="E1244" t="s">
        <v>26</v>
      </c>
      <c r="F1244" t="s">
        <v>46</v>
      </c>
      <c r="G1244" t="s">
        <v>46</v>
      </c>
      <c r="H1244" t="s">
        <v>47</v>
      </c>
      <c r="I1244" t="s">
        <v>29</v>
      </c>
      <c r="J1244" t="s">
        <v>64</v>
      </c>
      <c r="K1244" s="2">
        <v>37713.120000000003</v>
      </c>
      <c r="L1244" s="4">
        <v>3</v>
      </c>
      <c r="M1244" s="3">
        <v>0.16</v>
      </c>
      <c r="N1244" s="2">
        <v>754.26</v>
      </c>
    </row>
    <row r="1245" spans="1:14" x14ac:dyDescent="0.3">
      <c r="A1245" t="s">
        <v>1955</v>
      </c>
      <c r="B1245" s="1">
        <v>45232</v>
      </c>
      <c r="C1245" t="s">
        <v>672</v>
      </c>
      <c r="D1245" t="s">
        <v>25</v>
      </c>
      <c r="E1245" t="s">
        <v>17</v>
      </c>
      <c r="F1245" t="s">
        <v>79</v>
      </c>
      <c r="G1245" t="s">
        <v>80</v>
      </c>
      <c r="H1245" t="s">
        <v>47</v>
      </c>
      <c r="I1245" t="s">
        <v>29</v>
      </c>
      <c r="J1245" t="s">
        <v>64</v>
      </c>
      <c r="K1245" s="2">
        <v>40440.61</v>
      </c>
      <c r="L1245" s="4">
        <v>6</v>
      </c>
      <c r="M1245" s="3">
        <v>0.27</v>
      </c>
      <c r="N1245" s="2">
        <v>-1415.42</v>
      </c>
    </row>
    <row r="1246" spans="1:14" x14ac:dyDescent="0.3">
      <c r="A1246" t="s">
        <v>409</v>
      </c>
      <c r="B1246" s="1">
        <v>45232</v>
      </c>
      <c r="C1246" t="s">
        <v>410</v>
      </c>
      <c r="D1246" t="s">
        <v>33</v>
      </c>
      <c r="E1246" t="s">
        <v>26</v>
      </c>
      <c r="F1246" t="s">
        <v>79</v>
      </c>
      <c r="G1246" t="s">
        <v>80</v>
      </c>
      <c r="H1246" t="s">
        <v>47</v>
      </c>
      <c r="I1246" t="s">
        <v>21</v>
      </c>
      <c r="J1246" t="s">
        <v>58</v>
      </c>
      <c r="K1246" s="2">
        <v>12803.49</v>
      </c>
      <c r="L1246" s="4">
        <v>6</v>
      </c>
      <c r="M1246" s="3">
        <v>0.24</v>
      </c>
      <c r="N1246" s="2">
        <v>-256.07</v>
      </c>
    </row>
    <row r="1247" spans="1:14" x14ac:dyDescent="0.3">
      <c r="A1247" t="s">
        <v>1583</v>
      </c>
      <c r="B1247" s="1">
        <v>45232</v>
      </c>
      <c r="C1247" t="s">
        <v>930</v>
      </c>
      <c r="D1247" t="s">
        <v>33</v>
      </c>
      <c r="E1247" t="s">
        <v>51</v>
      </c>
      <c r="F1247" t="s">
        <v>79</v>
      </c>
      <c r="G1247" t="s">
        <v>80</v>
      </c>
      <c r="H1247" t="s">
        <v>47</v>
      </c>
      <c r="I1247" t="s">
        <v>43</v>
      </c>
      <c r="J1247" t="s">
        <v>58</v>
      </c>
      <c r="K1247" s="2">
        <v>46780.24</v>
      </c>
      <c r="L1247" s="4">
        <v>10</v>
      </c>
      <c r="M1247" s="3">
        <v>0.08</v>
      </c>
      <c r="N1247" s="2">
        <v>2806.81</v>
      </c>
    </row>
    <row r="1248" spans="1:14" x14ac:dyDescent="0.3">
      <c r="A1248" t="s">
        <v>1225</v>
      </c>
      <c r="B1248" s="1">
        <v>45232</v>
      </c>
      <c r="C1248" t="s">
        <v>1226</v>
      </c>
      <c r="D1248" t="s">
        <v>33</v>
      </c>
      <c r="E1248" t="s">
        <v>26</v>
      </c>
      <c r="F1248" t="s">
        <v>40</v>
      </c>
      <c r="G1248" t="s">
        <v>41</v>
      </c>
      <c r="H1248" t="s">
        <v>42</v>
      </c>
      <c r="I1248" t="s">
        <v>43</v>
      </c>
      <c r="J1248" t="s">
        <v>54</v>
      </c>
      <c r="K1248" s="2">
        <v>46270.32</v>
      </c>
      <c r="L1248" s="4">
        <v>2</v>
      </c>
      <c r="M1248" s="3">
        <v>0.04</v>
      </c>
      <c r="N1248" s="2">
        <v>3701.63</v>
      </c>
    </row>
    <row r="1249" spans="1:14" x14ac:dyDescent="0.3">
      <c r="A1249" t="s">
        <v>1088</v>
      </c>
      <c r="B1249" s="1">
        <v>45233</v>
      </c>
      <c r="C1249" t="s">
        <v>1089</v>
      </c>
      <c r="D1249" t="s">
        <v>33</v>
      </c>
      <c r="E1249" t="s">
        <v>26</v>
      </c>
      <c r="F1249" t="s">
        <v>46</v>
      </c>
      <c r="G1249" t="s">
        <v>46</v>
      </c>
      <c r="H1249" t="s">
        <v>47</v>
      </c>
      <c r="I1249" t="s">
        <v>43</v>
      </c>
      <c r="J1249" t="s">
        <v>64</v>
      </c>
      <c r="K1249" s="2">
        <v>14418.5</v>
      </c>
      <c r="L1249" s="4">
        <v>10</v>
      </c>
      <c r="M1249" s="3">
        <v>0.2</v>
      </c>
      <c r="N1249" s="2">
        <v>0</v>
      </c>
    </row>
    <row r="1250" spans="1:14" x14ac:dyDescent="0.3">
      <c r="A1250" t="s">
        <v>1779</v>
      </c>
      <c r="B1250" s="1">
        <v>45233</v>
      </c>
      <c r="C1250" t="s">
        <v>1780</v>
      </c>
      <c r="D1250" t="s">
        <v>25</v>
      </c>
      <c r="E1250" t="s">
        <v>17</v>
      </c>
      <c r="F1250" t="s">
        <v>34</v>
      </c>
      <c r="G1250" t="s">
        <v>35</v>
      </c>
      <c r="H1250" t="s">
        <v>36</v>
      </c>
      <c r="I1250" t="s">
        <v>29</v>
      </c>
      <c r="J1250" t="s">
        <v>106</v>
      </c>
      <c r="K1250" s="2">
        <v>21187.73</v>
      </c>
      <c r="L1250" s="4">
        <v>7</v>
      </c>
      <c r="M1250" s="3">
        <v>7.0000000000000007E-2</v>
      </c>
      <c r="N1250" s="2">
        <v>1377.2</v>
      </c>
    </row>
    <row r="1251" spans="1:14" x14ac:dyDescent="0.3">
      <c r="A1251" t="s">
        <v>2088</v>
      </c>
      <c r="B1251" s="1">
        <v>45233</v>
      </c>
      <c r="C1251" t="s">
        <v>1948</v>
      </c>
      <c r="D1251" t="s">
        <v>85</v>
      </c>
      <c r="E1251" t="s">
        <v>26</v>
      </c>
      <c r="F1251" t="s">
        <v>40</v>
      </c>
      <c r="G1251" t="s">
        <v>41</v>
      </c>
      <c r="H1251" t="s">
        <v>42</v>
      </c>
      <c r="I1251" t="s">
        <v>29</v>
      </c>
      <c r="J1251" t="s">
        <v>106</v>
      </c>
      <c r="K1251" s="2">
        <v>31427.05</v>
      </c>
      <c r="L1251" s="4">
        <v>8</v>
      </c>
      <c r="M1251" s="3">
        <v>0.23</v>
      </c>
      <c r="N1251" s="2">
        <v>-471.41</v>
      </c>
    </row>
    <row r="1252" spans="1:14" x14ac:dyDescent="0.3">
      <c r="A1252" t="s">
        <v>2257</v>
      </c>
      <c r="B1252" s="1">
        <v>45233</v>
      </c>
      <c r="C1252" t="s">
        <v>202</v>
      </c>
      <c r="D1252" t="s">
        <v>33</v>
      </c>
      <c r="E1252" t="s">
        <v>17</v>
      </c>
      <c r="F1252" t="s">
        <v>18</v>
      </c>
      <c r="G1252" t="s">
        <v>19</v>
      </c>
      <c r="H1252" t="s">
        <v>20</v>
      </c>
      <c r="I1252" t="s">
        <v>43</v>
      </c>
      <c r="J1252" t="s">
        <v>58</v>
      </c>
      <c r="K1252" s="2">
        <v>42372.27</v>
      </c>
      <c r="L1252" s="4">
        <v>10</v>
      </c>
      <c r="M1252" s="3">
        <v>0.16</v>
      </c>
      <c r="N1252" s="2">
        <v>847.45</v>
      </c>
    </row>
    <row r="1253" spans="1:14" x14ac:dyDescent="0.3">
      <c r="A1253" t="s">
        <v>1259</v>
      </c>
      <c r="B1253" s="1">
        <v>45233</v>
      </c>
      <c r="C1253" t="s">
        <v>1260</v>
      </c>
      <c r="D1253" t="s">
        <v>16</v>
      </c>
      <c r="E1253" t="s">
        <v>26</v>
      </c>
      <c r="F1253" t="s">
        <v>40</v>
      </c>
      <c r="G1253" t="s">
        <v>41</v>
      </c>
      <c r="H1253" t="s">
        <v>42</v>
      </c>
      <c r="I1253" t="s">
        <v>43</v>
      </c>
      <c r="J1253" t="s">
        <v>58</v>
      </c>
      <c r="K1253" s="2">
        <v>49919.68</v>
      </c>
      <c r="L1253" s="4">
        <v>7</v>
      </c>
      <c r="M1253" s="3">
        <v>0.08</v>
      </c>
      <c r="N1253" s="2">
        <v>2995.18</v>
      </c>
    </row>
    <row r="1254" spans="1:14" x14ac:dyDescent="0.3">
      <c r="A1254" t="s">
        <v>2233</v>
      </c>
      <c r="B1254" s="1">
        <v>45233</v>
      </c>
      <c r="C1254" t="s">
        <v>936</v>
      </c>
      <c r="D1254" t="s">
        <v>85</v>
      </c>
      <c r="E1254" t="s">
        <v>17</v>
      </c>
      <c r="F1254" t="s">
        <v>18</v>
      </c>
      <c r="G1254" t="s">
        <v>19</v>
      </c>
      <c r="H1254" t="s">
        <v>20</v>
      </c>
      <c r="I1254" t="s">
        <v>21</v>
      </c>
      <c r="J1254" t="s">
        <v>58</v>
      </c>
      <c r="K1254" s="2">
        <v>47603.38</v>
      </c>
      <c r="L1254" s="4">
        <v>2</v>
      </c>
      <c r="M1254" s="3">
        <v>7.0000000000000007E-2</v>
      </c>
      <c r="N1254" s="2">
        <v>3094.22</v>
      </c>
    </row>
    <row r="1255" spans="1:14" x14ac:dyDescent="0.3">
      <c r="A1255" t="s">
        <v>1283</v>
      </c>
      <c r="B1255" s="1">
        <v>45234</v>
      </c>
      <c r="C1255" t="s">
        <v>1107</v>
      </c>
      <c r="D1255" t="s">
        <v>57</v>
      </c>
      <c r="E1255" t="s">
        <v>17</v>
      </c>
      <c r="F1255" t="s">
        <v>18</v>
      </c>
      <c r="G1255" t="s">
        <v>19</v>
      </c>
      <c r="H1255" t="s">
        <v>20</v>
      </c>
      <c r="I1255" t="s">
        <v>29</v>
      </c>
      <c r="J1255" t="s">
        <v>58</v>
      </c>
      <c r="K1255" s="2">
        <v>16565.3</v>
      </c>
      <c r="L1255" s="4">
        <v>5</v>
      </c>
      <c r="M1255" s="3">
        <v>0.26</v>
      </c>
      <c r="N1255" s="2">
        <v>-496.96</v>
      </c>
    </row>
    <row r="1256" spans="1:14" x14ac:dyDescent="0.3">
      <c r="A1256" t="s">
        <v>2041</v>
      </c>
      <c r="B1256" s="1">
        <v>45234</v>
      </c>
      <c r="C1256" t="s">
        <v>1712</v>
      </c>
      <c r="D1256" t="s">
        <v>50</v>
      </c>
      <c r="E1256" t="s">
        <v>26</v>
      </c>
      <c r="F1256" t="s">
        <v>46</v>
      </c>
      <c r="G1256" t="s">
        <v>46</v>
      </c>
      <c r="H1256" t="s">
        <v>47</v>
      </c>
      <c r="I1256" t="s">
        <v>21</v>
      </c>
      <c r="J1256" t="s">
        <v>58</v>
      </c>
      <c r="K1256" s="2">
        <v>6216.93</v>
      </c>
      <c r="L1256" s="4">
        <v>8</v>
      </c>
      <c r="M1256" s="3">
        <v>0.25</v>
      </c>
      <c r="N1256" s="2">
        <v>-155.41999999999999</v>
      </c>
    </row>
    <row r="1257" spans="1:14" x14ac:dyDescent="0.3">
      <c r="A1257" t="s">
        <v>167</v>
      </c>
      <c r="B1257" s="1">
        <v>45235</v>
      </c>
      <c r="C1257" t="s">
        <v>168</v>
      </c>
      <c r="D1257" t="s">
        <v>25</v>
      </c>
      <c r="E1257" t="s">
        <v>17</v>
      </c>
      <c r="F1257" t="s">
        <v>79</v>
      </c>
      <c r="G1257" t="s">
        <v>80</v>
      </c>
      <c r="H1257" t="s">
        <v>47</v>
      </c>
      <c r="I1257" t="s">
        <v>29</v>
      </c>
      <c r="J1257" t="s">
        <v>22</v>
      </c>
      <c r="K1257" s="2">
        <v>48631.12</v>
      </c>
      <c r="L1257" s="4">
        <v>5</v>
      </c>
      <c r="M1257" s="3">
        <v>0.19</v>
      </c>
      <c r="N1257" s="2">
        <v>243.16</v>
      </c>
    </row>
    <row r="1258" spans="1:14" x14ac:dyDescent="0.3">
      <c r="A1258" t="s">
        <v>187</v>
      </c>
      <c r="B1258" s="1">
        <v>45235</v>
      </c>
      <c r="C1258" t="s">
        <v>188</v>
      </c>
      <c r="D1258" t="s">
        <v>57</v>
      </c>
      <c r="E1258" t="s">
        <v>26</v>
      </c>
      <c r="F1258" t="s">
        <v>46</v>
      </c>
      <c r="G1258" t="s">
        <v>46</v>
      </c>
      <c r="H1258" t="s">
        <v>47</v>
      </c>
      <c r="I1258" t="s">
        <v>21</v>
      </c>
      <c r="J1258" t="s">
        <v>58</v>
      </c>
      <c r="K1258" s="2">
        <v>31338.080000000002</v>
      </c>
      <c r="L1258" s="4">
        <v>9</v>
      </c>
      <c r="M1258" s="3">
        <v>0.18</v>
      </c>
      <c r="N1258" s="2">
        <v>313.38</v>
      </c>
    </row>
    <row r="1259" spans="1:14" x14ac:dyDescent="0.3">
      <c r="A1259" t="s">
        <v>1796</v>
      </c>
      <c r="B1259" s="1">
        <v>45235</v>
      </c>
      <c r="C1259" t="s">
        <v>804</v>
      </c>
      <c r="D1259" t="s">
        <v>33</v>
      </c>
      <c r="E1259" t="s">
        <v>26</v>
      </c>
      <c r="F1259" t="s">
        <v>27</v>
      </c>
      <c r="G1259" t="s">
        <v>28</v>
      </c>
      <c r="H1259" t="s">
        <v>20</v>
      </c>
      <c r="I1259" t="s">
        <v>21</v>
      </c>
      <c r="J1259" t="s">
        <v>30</v>
      </c>
      <c r="K1259" s="2">
        <v>27550.1</v>
      </c>
      <c r="L1259" s="4">
        <v>7</v>
      </c>
      <c r="M1259" s="3">
        <v>0.3</v>
      </c>
      <c r="N1259" s="2">
        <v>-1377.5</v>
      </c>
    </row>
    <row r="1260" spans="1:14" x14ac:dyDescent="0.3">
      <c r="A1260" t="s">
        <v>2100</v>
      </c>
      <c r="B1260" s="1">
        <v>45235</v>
      </c>
      <c r="C1260" t="s">
        <v>286</v>
      </c>
      <c r="D1260" t="s">
        <v>57</v>
      </c>
      <c r="E1260" t="s">
        <v>26</v>
      </c>
      <c r="F1260" t="s">
        <v>18</v>
      </c>
      <c r="G1260" t="s">
        <v>19</v>
      </c>
      <c r="H1260" t="s">
        <v>20</v>
      </c>
      <c r="I1260" t="s">
        <v>43</v>
      </c>
      <c r="J1260" t="s">
        <v>54</v>
      </c>
      <c r="K1260" s="2">
        <v>31676.89</v>
      </c>
      <c r="L1260" s="4">
        <v>5</v>
      </c>
      <c r="M1260" s="3">
        <v>0.12</v>
      </c>
      <c r="N1260" s="2">
        <v>1267.08</v>
      </c>
    </row>
    <row r="1261" spans="1:14" x14ac:dyDescent="0.3">
      <c r="A1261" t="s">
        <v>559</v>
      </c>
      <c r="B1261" s="1">
        <v>45235</v>
      </c>
      <c r="C1261" t="s">
        <v>560</v>
      </c>
      <c r="D1261" t="s">
        <v>25</v>
      </c>
      <c r="E1261" t="s">
        <v>17</v>
      </c>
      <c r="F1261" t="s">
        <v>27</v>
      </c>
      <c r="G1261" t="s">
        <v>28</v>
      </c>
      <c r="H1261" t="s">
        <v>20</v>
      </c>
      <c r="I1261" t="s">
        <v>43</v>
      </c>
      <c r="J1261" t="s">
        <v>58</v>
      </c>
      <c r="K1261" s="2">
        <v>20625.689999999999</v>
      </c>
      <c r="L1261" s="4">
        <v>3</v>
      </c>
      <c r="M1261" s="3">
        <v>0.19</v>
      </c>
      <c r="N1261" s="2">
        <v>103.13</v>
      </c>
    </row>
    <row r="1262" spans="1:14" x14ac:dyDescent="0.3">
      <c r="A1262" t="s">
        <v>843</v>
      </c>
      <c r="B1262" s="1">
        <v>45236</v>
      </c>
      <c r="C1262" t="s">
        <v>53</v>
      </c>
      <c r="D1262" t="s">
        <v>25</v>
      </c>
      <c r="E1262" t="s">
        <v>26</v>
      </c>
      <c r="F1262" t="s">
        <v>34</v>
      </c>
      <c r="G1262" t="s">
        <v>35</v>
      </c>
      <c r="H1262" t="s">
        <v>36</v>
      </c>
      <c r="I1262" t="s">
        <v>21</v>
      </c>
      <c r="J1262" t="s">
        <v>58</v>
      </c>
      <c r="K1262" s="2">
        <v>22207.71</v>
      </c>
      <c r="L1262" s="4">
        <v>10</v>
      </c>
      <c r="M1262" s="3">
        <v>0.22</v>
      </c>
      <c r="N1262" s="2">
        <v>-222.08</v>
      </c>
    </row>
    <row r="1263" spans="1:14" x14ac:dyDescent="0.3">
      <c r="A1263" t="s">
        <v>916</v>
      </c>
      <c r="B1263" s="1">
        <v>45236</v>
      </c>
      <c r="C1263" t="s">
        <v>188</v>
      </c>
      <c r="D1263" t="s">
        <v>57</v>
      </c>
      <c r="E1263" t="s">
        <v>51</v>
      </c>
      <c r="F1263" t="s">
        <v>46</v>
      </c>
      <c r="G1263" t="s">
        <v>46</v>
      </c>
      <c r="H1263" t="s">
        <v>47</v>
      </c>
      <c r="I1263" t="s">
        <v>21</v>
      </c>
      <c r="J1263" t="s">
        <v>22</v>
      </c>
      <c r="K1263" s="2">
        <v>2609.88</v>
      </c>
      <c r="L1263" s="4">
        <v>6</v>
      </c>
      <c r="M1263" s="3">
        <v>0.03</v>
      </c>
      <c r="N1263" s="2">
        <v>221.84</v>
      </c>
    </row>
    <row r="1264" spans="1:14" x14ac:dyDescent="0.3">
      <c r="A1264" t="s">
        <v>1491</v>
      </c>
      <c r="B1264" s="1">
        <v>45236</v>
      </c>
      <c r="C1264" t="s">
        <v>523</v>
      </c>
      <c r="D1264" t="s">
        <v>50</v>
      </c>
      <c r="E1264" t="s">
        <v>26</v>
      </c>
      <c r="F1264" t="s">
        <v>34</v>
      </c>
      <c r="G1264" t="s">
        <v>35</v>
      </c>
      <c r="H1264" t="s">
        <v>36</v>
      </c>
      <c r="I1264" t="s">
        <v>43</v>
      </c>
      <c r="J1264" t="s">
        <v>106</v>
      </c>
      <c r="K1264" s="2">
        <v>18626.98</v>
      </c>
      <c r="L1264" s="4">
        <v>7</v>
      </c>
      <c r="M1264" s="3">
        <v>0.11</v>
      </c>
      <c r="N1264" s="2">
        <v>838.21</v>
      </c>
    </row>
    <row r="1265" spans="1:14" x14ac:dyDescent="0.3">
      <c r="A1265" t="s">
        <v>1749</v>
      </c>
      <c r="B1265" s="1">
        <v>45236</v>
      </c>
      <c r="C1265" t="s">
        <v>799</v>
      </c>
      <c r="D1265" t="s">
        <v>57</v>
      </c>
      <c r="E1265" t="s">
        <v>26</v>
      </c>
      <c r="F1265" t="s">
        <v>34</v>
      </c>
      <c r="G1265" t="s">
        <v>35</v>
      </c>
      <c r="H1265" t="s">
        <v>36</v>
      </c>
      <c r="I1265" t="s">
        <v>21</v>
      </c>
      <c r="J1265" t="s">
        <v>30</v>
      </c>
      <c r="K1265" s="2">
        <v>40800.21</v>
      </c>
      <c r="L1265" s="4">
        <v>4</v>
      </c>
      <c r="M1265" s="3">
        <v>0.28999999999999998</v>
      </c>
      <c r="N1265" s="2">
        <v>-1836.01</v>
      </c>
    </row>
    <row r="1266" spans="1:14" x14ac:dyDescent="0.3">
      <c r="A1266" t="s">
        <v>215</v>
      </c>
      <c r="B1266" s="1">
        <v>45236</v>
      </c>
      <c r="C1266" t="s">
        <v>216</v>
      </c>
      <c r="D1266" t="s">
        <v>25</v>
      </c>
      <c r="E1266" t="s">
        <v>26</v>
      </c>
      <c r="F1266" t="s">
        <v>40</v>
      </c>
      <c r="G1266" t="s">
        <v>41</v>
      </c>
      <c r="H1266" t="s">
        <v>42</v>
      </c>
      <c r="I1266" t="s">
        <v>43</v>
      </c>
      <c r="J1266" t="s">
        <v>37</v>
      </c>
      <c r="K1266" s="2">
        <v>656.26</v>
      </c>
      <c r="L1266" s="4">
        <v>2</v>
      </c>
      <c r="M1266" s="3">
        <v>0.14000000000000001</v>
      </c>
      <c r="N1266" s="2">
        <v>19.690000000000001</v>
      </c>
    </row>
    <row r="1267" spans="1:14" x14ac:dyDescent="0.3">
      <c r="A1267" t="s">
        <v>403</v>
      </c>
      <c r="B1267" s="1">
        <v>45237</v>
      </c>
      <c r="C1267" t="s">
        <v>404</v>
      </c>
      <c r="D1267" t="s">
        <v>50</v>
      </c>
      <c r="E1267" t="s">
        <v>51</v>
      </c>
      <c r="F1267" t="s">
        <v>79</v>
      </c>
      <c r="G1267" t="s">
        <v>80</v>
      </c>
      <c r="H1267" t="s">
        <v>47</v>
      </c>
      <c r="I1267" t="s">
        <v>21</v>
      </c>
      <c r="J1267" t="s">
        <v>64</v>
      </c>
      <c r="K1267" s="2">
        <v>35619.24</v>
      </c>
      <c r="L1267" s="4">
        <v>9</v>
      </c>
      <c r="M1267" s="3">
        <v>0.26</v>
      </c>
      <c r="N1267" s="2">
        <v>-1068.58</v>
      </c>
    </row>
    <row r="1268" spans="1:14" x14ac:dyDescent="0.3">
      <c r="A1268" t="s">
        <v>766</v>
      </c>
      <c r="B1268" s="1">
        <v>45237</v>
      </c>
      <c r="C1268" t="s">
        <v>767</v>
      </c>
      <c r="D1268" t="s">
        <v>33</v>
      </c>
      <c r="E1268" t="s">
        <v>51</v>
      </c>
      <c r="F1268" t="s">
        <v>27</v>
      </c>
      <c r="G1268" t="s">
        <v>28</v>
      </c>
      <c r="H1268" t="s">
        <v>20</v>
      </c>
      <c r="I1268" t="s">
        <v>21</v>
      </c>
      <c r="J1268" t="s">
        <v>30</v>
      </c>
      <c r="K1268" s="2">
        <v>19735.900000000001</v>
      </c>
      <c r="L1268" s="4">
        <v>8</v>
      </c>
      <c r="M1268" s="3">
        <v>0.23</v>
      </c>
      <c r="N1268" s="2">
        <v>-296.04000000000002</v>
      </c>
    </row>
    <row r="1269" spans="1:14" x14ac:dyDescent="0.3">
      <c r="A1269" t="s">
        <v>960</v>
      </c>
      <c r="B1269" s="1">
        <v>45237</v>
      </c>
      <c r="C1269" t="s">
        <v>126</v>
      </c>
      <c r="D1269" t="s">
        <v>16</v>
      </c>
      <c r="E1269" t="s">
        <v>26</v>
      </c>
      <c r="F1269" t="s">
        <v>40</v>
      </c>
      <c r="G1269" t="s">
        <v>41</v>
      </c>
      <c r="H1269" t="s">
        <v>42</v>
      </c>
      <c r="I1269" t="s">
        <v>21</v>
      </c>
      <c r="J1269" t="s">
        <v>54</v>
      </c>
      <c r="K1269" s="2">
        <v>35769.629999999997</v>
      </c>
      <c r="L1269" s="4">
        <v>5</v>
      </c>
      <c r="M1269" s="3">
        <v>0.03</v>
      </c>
      <c r="N1269" s="2">
        <v>3040.42</v>
      </c>
    </row>
    <row r="1270" spans="1:14" x14ac:dyDescent="0.3">
      <c r="A1270" t="s">
        <v>1020</v>
      </c>
      <c r="B1270" s="1">
        <v>45237</v>
      </c>
      <c r="C1270" t="s">
        <v>1021</v>
      </c>
      <c r="D1270" t="s">
        <v>16</v>
      </c>
      <c r="E1270" t="s">
        <v>26</v>
      </c>
      <c r="F1270" t="s">
        <v>27</v>
      </c>
      <c r="G1270" t="s">
        <v>28</v>
      </c>
      <c r="H1270" t="s">
        <v>20</v>
      </c>
      <c r="I1270" t="s">
        <v>21</v>
      </c>
      <c r="J1270" t="s">
        <v>64</v>
      </c>
      <c r="K1270" s="2">
        <v>30999.35</v>
      </c>
      <c r="L1270" s="4">
        <v>2</v>
      </c>
      <c r="M1270" s="3">
        <v>0.28000000000000003</v>
      </c>
      <c r="N1270" s="2">
        <v>-1239.97</v>
      </c>
    </row>
    <row r="1271" spans="1:14" x14ac:dyDescent="0.3">
      <c r="A1271" t="s">
        <v>1805</v>
      </c>
      <c r="B1271" s="1">
        <v>45237</v>
      </c>
      <c r="C1271" t="s">
        <v>188</v>
      </c>
      <c r="D1271" t="s">
        <v>85</v>
      </c>
      <c r="E1271" t="s">
        <v>17</v>
      </c>
      <c r="F1271" t="s">
        <v>46</v>
      </c>
      <c r="G1271" t="s">
        <v>46</v>
      </c>
      <c r="H1271" t="s">
        <v>47</v>
      </c>
      <c r="I1271" t="s">
        <v>43</v>
      </c>
      <c r="J1271" t="s">
        <v>106</v>
      </c>
      <c r="K1271" s="2">
        <v>27901.279999999999</v>
      </c>
      <c r="L1271" s="4">
        <v>4</v>
      </c>
      <c r="M1271" s="3">
        <v>0.28999999999999998</v>
      </c>
      <c r="N1271" s="2">
        <v>-1255.56</v>
      </c>
    </row>
    <row r="1272" spans="1:14" x14ac:dyDescent="0.3">
      <c r="A1272" t="s">
        <v>2180</v>
      </c>
      <c r="B1272" s="1">
        <v>45237</v>
      </c>
      <c r="C1272" t="s">
        <v>1660</v>
      </c>
      <c r="D1272" t="s">
        <v>16</v>
      </c>
      <c r="E1272" t="s">
        <v>17</v>
      </c>
      <c r="F1272" t="s">
        <v>18</v>
      </c>
      <c r="G1272" t="s">
        <v>19</v>
      </c>
      <c r="H1272" t="s">
        <v>20</v>
      </c>
      <c r="I1272" t="s">
        <v>21</v>
      </c>
      <c r="J1272" t="s">
        <v>54</v>
      </c>
      <c r="K1272" s="2">
        <v>13448.28</v>
      </c>
      <c r="L1272" s="4">
        <v>8</v>
      </c>
      <c r="M1272" s="3">
        <v>0.2</v>
      </c>
      <c r="N1272" s="2">
        <v>0</v>
      </c>
    </row>
    <row r="1273" spans="1:14" x14ac:dyDescent="0.3">
      <c r="A1273" t="s">
        <v>418</v>
      </c>
      <c r="B1273" s="1">
        <v>45237</v>
      </c>
      <c r="C1273" t="s">
        <v>419</v>
      </c>
      <c r="D1273" t="s">
        <v>61</v>
      </c>
      <c r="E1273" t="s">
        <v>17</v>
      </c>
      <c r="F1273" t="s">
        <v>79</v>
      </c>
      <c r="G1273" t="s">
        <v>80</v>
      </c>
      <c r="H1273" t="s">
        <v>47</v>
      </c>
      <c r="I1273" t="s">
        <v>43</v>
      </c>
      <c r="J1273" t="s">
        <v>106</v>
      </c>
      <c r="K1273" s="2">
        <v>25533.43</v>
      </c>
      <c r="L1273" s="4">
        <v>4</v>
      </c>
      <c r="M1273" s="3">
        <v>0.03</v>
      </c>
      <c r="N1273" s="2">
        <v>2170.34</v>
      </c>
    </row>
    <row r="1274" spans="1:14" x14ac:dyDescent="0.3">
      <c r="A1274" t="s">
        <v>478</v>
      </c>
      <c r="B1274" s="1">
        <v>45238</v>
      </c>
      <c r="C1274" t="s">
        <v>479</v>
      </c>
      <c r="D1274" t="s">
        <v>61</v>
      </c>
      <c r="E1274" t="s">
        <v>17</v>
      </c>
      <c r="F1274" t="s">
        <v>46</v>
      </c>
      <c r="G1274" t="s">
        <v>46</v>
      </c>
      <c r="H1274" t="s">
        <v>47</v>
      </c>
      <c r="I1274" t="s">
        <v>29</v>
      </c>
      <c r="J1274" t="s">
        <v>58</v>
      </c>
      <c r="K1274" s="2">
        <v>40570.870000000003</v>
      </c>
      <c r="L1274" s="4">
        <v>7</v>
      </c>
      <c r="M1274" s="3">
        <v>0.01</v>
      </c>
      <c r="N1274" s="2">
        <v>3854.23</v>
      </c>
    </row>
    <row r="1275" spans="1:14" x14ac:dyDescent="0.3">
      <c r="A1275" t="s">
        <v>690</v>
      </c>
      <c r="B1275" s="1">
        <v>45238</v>
      </c>
      <c r="C1275" t="s">
        <v>691</v>
      </c>
      <c r="D1275" t="s">
        <v>33</v>
      </c>
      <c r="E1275" t="s">
        <v>17</v>
      </c>
      <c r="F1275" t="s">
        <v>46</v>
      </c>
      <c r="G1275" t="s">
        <v>46</v>
      </c>
      <c r="H1275" t="s">
        <v>47</v>
      </c>
      <c r="I1275" t="s">
        <v>43</v>
      </c>
      <c r="J1275" t="s">
        <v>22</v>
      </c>
      <c r="K1275" s="2">
        <v>7485</v>
      </c>
      <c r="L1275" s="4">
        <v>5</v>
      </c>
      <c r="M1275" s="3">
        <v>0.02</v>
      </c>
      <c r="N1275" s="2">
        <v>673.65</v>
      </c>
    </row>
    <row r="1276" spans="1:14" x14ac:dyDescent="0.3">
      <c r="A1276" t="s">
        <v>1495</v>
      </c>
      <c r="B1276" s="1">
        <v>45238</v>
      </c>
      <c r="C1276" t="s">
        <v>741</v>
      </c>
      <c r="D1276" t="s">
        <v>61</v>
      </c>
      <c r="E1276" t="s">
        <v>17</v>
      </c>
      <c r="F1276" t="s">
        <v>46</v>
      </c>
      <c r="G1276" t="s">
        <v>46</v>
      </c>
      <c r="H1276" t="s">
        <v>47</v>
      </c>
      <c r="I1276" t="s">
        <v>21</v>
      </c>
      <c r="J1276" t="s">
        <v>22</v>
      </c>
      <c r="K1276" s="2">
        <v>23262.7</v>
      </c>
      <c r="L1276" s="4">
        <v>7</v>
      </c>
      <c r="M1276" s="3">
        <v>0.27</v>
      </c>
      <c r="N1276" s="2">
        <v>-814.19</v>
      </c>
    </row>
    <row r="1277" spans="1:14" x14ac:dyDescent="0.3">
      <c r="A1277" t="s">
        <v>1554</v>
      </c>
      <c r="B1277" s="1">
        <v>45238</v>
      </c>
      <c r="C1277" t="s">
        <v>223</v>
      </c>
      <c r="D1277" t="s">
        <v>33</v>
      </c>
      <c r="E1277" t="s">
        <v>17</v>
      </c>
      <c r="F1277" t="s">
        <v>79</v>
      </c>
      <c r="G1277" t="s">
        <v>80</v>
      </c>
      <c r="H1277" t="s">
        <v>47</v>
      </c>
      <c r="I1277" t="s">
        <v>43</v>
      </c>
      <c r="J1277" t="s">
        <v>30</v>
      </c>
      <c r="K1277" s="2">
        <v>29593.87</v>
      </c>
      <c r="L1277" s="4">
        <v>2</v>
      </c>
      <c r="M1277" s="3">
        <v>0.24</v>
      </c>
      <c r="N1277" s="2">
        <v>-591.88</v>
      </c>
    </row>
    <row r="1278" spans="1:14" x14ac:dyDescent="0.3">
      <c r="A1278" t="s">
        <v>275</v>
      </c>
      <c r="B1278" s="1">
        <v>45238</v>
      </c>
      <c r="C1278" t="s">
        <v>276</v>
      </c>
      <c r="D1278" t="s">
        <v>33</v>
      </c>
      <c r="E1278" t="s">
        <v>17</v>
      </c>
      <c r="F1278" t="s">
        <v>40</v>
      </c>
      <c r="G1278" t="s">
        <v>41</v>
      </c>
      <c r="H1278" t="s">
        <v>42</v>
      </c>
      <c r="I1278" t="s">
        <v>21</v>
      </c>
      <c r="J1278" t="s">
        <v>22</v>
      </c>
      <c r="K1278" s="2">
        <v>1657.5</v>
      </c>
      <c r="L1278" s="4">
        <v>2</v>
      </c>
      <c r="M1278" s="3">
        <v>0.06</v>
      </c>
      <c r="N1278" s="2">
        <v>116.03</v>
      </c>
    </row>
    <row r="1279" spans="1:14" x14ac:dyDescent="0.3">
      <c r="A1279" t="s">
        <v>1198</v>
      </c>
      <c r="B1279" s="1">
        <v>45238</v>
      </c>
      <c r="C1279" t="s">
        <v>299</v>
      </c>
      <c r="D1279" t="s">
        <v>25</v>
      </c>
      <c r="E1279" t="s">
        <v>17</v>
      </c>
      <c r="F1279" t="s">
        <v>46</v>
      </c>
      <c r="G1279" t="s">
        <v>46</v>
      </c>
      <c r="H1279" t="s">
        <v>47</v>
      </c>
      <c r="I1279" t="s">
        <v>21</v>
      </c>
      <c r="J1279" t="s">
        <v>58</v>
      </c>
      <c r="K1279" s="2">
        <v>44326.86</v>
      </c>
      <c r="L1279" s="4">
        <v>9</v>
      </c>
      <c r="M1279" s="3">
        <v>0.26</v>
      </c>
      <c r="N1279" s="2">
        <v>-1329.81</v>
      </c>
    </row>
    <row r="1280" spans="1:14" x14ac:dyDescent="0.3">
      <c r="A1280" t="s">
        <v>2170</v>
      </c>
      <c r="B1280" s="1">
        <v>45239</v>
      </c>
      <c r="C1280" t="s">
        <v>684</v>
      </c>
      <c r="D1280" t="s">
        <v>61</v>
      </c>
      <c r="E1280" t="s">
        <v>26</v>
      </c>
      <c r="F1280" t="s">
        <v>46</v>
      </c>
      <c r="G1280" t="s">
        <v>46</v>
      </c>
      <c r="H1280" t="s">
        <v>47</v>
      </c>
      <c r="I1280" t="s">
        <v>21</v>
      </c>
      <c r="J1280" t="s">
        <v>30</v>
      </c>
      <c r="K1280" s="2">
        <v>29448.7</v>
      </c>
      <c r="L1280" s="4">
        <v>3</v>
      </c>
      <c r="M1280" s="3">
        <v>0.18</v>
      </c>
      <c r="N1280" s="2">
        <v>294.49</v>
      </c>
    </row>
    <row r="1281" spans="1:14" x14ac:dyDescent="0.3">
      <c r="A1281" t="s">
        <v>1555</v>
      </c>
      <c r="B1281" s="1">
        <v>45239</v>
      </c>
      <c r="C1281" t="s">
        <v>108</v>
      </c>
      <c r="D1281" t="s">
        <v>33</v>
      </c>
      <c r="E1281" t="s">
        <v>51</v>
      </c>
      <c r="F1281" t="s">
        <v>18</v>
      </c>
      <c r="G1281" t="s">
        <v>19</v>
      </c>
      <c r="H1281" t="s">
        <v>20</v>
      </c>
      <c r="I1281" t="s">
        <v>21</v>
      </c>
      <c r="J1281" t="s">
        <v>106</v>
      </c>
      <c r="K1281" s="2">
        <v>21253.45</v>
      </c>
      <c r="L1281" s="4">
        <v>2</v>
      </c>
      <c r="M1281" s="3">
        <v>7.0000000000000007E-2</v>
      </c>
      <c r="N1281" s="2">
        <v>1381.47</v>
      </c>
    </row>
    <row r="1282" spans="1:14" x14ac:dyDescent="0.3">
      <c r="A1282" t="s">
        <v>2102</v>
      </c>
      <c r="B1282" s="1">
        <v>45239</v>
      </c>
      <c r="C1282" t="s">
        <v>2103</v>
      </c>
      <c r="D1282" t="s">
        <v>25</v>
      </c>
      <c r="E1282" t="s">
        <v>51</v>
      </c>
      <c r="F1282" t="s">
        <v>27</v>
      </c>
      <c r="G1282" t="s">
        <v>28</v>
      </c>
      <c r="H1282" t="s">
        <v>20</v>
      </c>
      <c r="I1282" t="s">
        <v>43</v>
      </c>
      <c r="J1282" t="s">
        <v>64</v>
      </c>
      <c r="K1282" s="2">
        <v>3926.95</v>
      </c>
      <c r="L1282" s="4">
        <v>9</v>
      </c>
      <c r="M1282" s="3">
        <v>0.24</v>
      </c>
      <c r="N1282" s="2">
        <v>-78.540000000000006</v>
      </c>
    </row>
    <row r="1283" spans="1:14" x14ac:dyDescent="0.3">
      <c r="A1283" t="s">
        <v>1105</v>
      </c>
      <c r="B1283" s="1">
        <v>45240</v>
      </c>
      <c r="C1283" t="s">
        <v>710</v>
      </c>
      <c r="D1283" t="s">
        <v>25</v>
      </c>
      <c r="E1283" t="s">
        <v>51</v>
      </c>
      <c r="F1283" t="s">
        <v>18</v>
      </c>
      <c r="G1283" t="s">
        <v>19</v>
      </c>
      <c r="H1283" t="s">
        <v>20</v>
      </c>
      <c r="I1283" t="s">
        <v>43</v>
      </c>
      <c r="J1283" t="s">
        <v>106</v>
      </c>
      <c r="K1283" s="2">
        <v>18740.740000000002</v>
      </c>
      <c r="L1283" s="4">
        <v>7</v>
      </c>
      <c r="M1283" s="3">
        <v>0.12</v>
      </c>
      <c r="N1283" s="2">
        <v>749.63</v>
      </c>
    </row>
    <row r="1284" spans="1:14" x14ac:dyDescent="0.3">
      <c r="A1284" t="s">
        <v>1849</v>
      </c>
      <c r="B1284" s="1">
        <v>45240</v>
      </c>
      <c r="C1284" t="s">
        <v>1305</v>
      </c>
      <c r="D1284" t="s">
        <v>50</v>
      </c>
      <c r="E1284" t="s">
        <v>51</v>
      </c>
      <c r="F1284" t="s">
        <v>40</v>
      </c>
      <c r="G1284" t="s">
        <v>41</v>
      </c>
      <c r="H1284" t="s">
        <v>42</v>
      </c>
      <c r="I1284" t="s">
        <v>21</v>
      </c>
      <c r="J1284" t="s">
        <v>58</v>
      </c>
      <c r="K1284" s="2">
        <v>25058.43</v>
      </c>
      <c r="L1284" s="4">
        <v>8</v>
      </c>
      <c r="M1284" s="3">
        <v>0.09</v>
      </c>
      <c r="N1284" s="2">
        <v>1378.21</v>
      </c>
    </row>
    <row r="1285" spans="1:14" x14ac:dyDescent="0.3">
      <c r="A1285" t="s">
        <v>343</v>
      </c>
      <c r="B1285" s="1">
        <v>45240</v>
      </c>
      <c r="C1285" t="s">
        <v>344</v>
      </c>
      <c r="D1285" t="s">
        <v>85</v>
      </c>
      <c r="E1285" t="s">
        <v>51</v>
      </c>
      <c r="F1285" t="s">
        <v>27</v>
      </c>
      <c r="G1285" t="s">
        <v>28</v>
      </c>
      <c r="H1285" t="s">
        <v>20</v>
      </c>
      <c r="I1285" t="s">
        <v>43</v>
      </c>
      <c r="J1285" t="s">
        <v>106</v>
      </c>
      <c r="K1285" s="2">
        <v>21404.12</v>
      </c>
      <c r="L1285" s="4">
        <v>3</v>
      </c>
      <c r="M1285" s="3">
        <v>0.13</v>
      </c>
      <c r="N1285" s="2">
        <v>749.14</v>
      </c>
    </row>
    <row r="1286" spans="1:14" x14ac:dyDescent="0.3">
      <c r="A1286" t="s">
        <v>703</v>
      </c>
      <c r="B1286" s="1">
        <v>45240</v>
      </c>
      <c r="C1286" t="s">
        <v>704</v>
      </c>
      <c r="D1286" t="s">
        <v>57</v>
      </c>
      <c r="E1286" t="s">
        <v>17</v>
      </c>
      <c r="F1286" t="s">
        <v>79</v>
      </c>
      <c r="G1286" t="s">
        <v>80</v>
      </c>
      <c r="H1286" t="s">
        <v>47</v>
      </c>
      <c r="I1286" t="s">
        <v>21</v>
      </c>
      <c r="J1286" t="s">
        <v>30</v>
      </c>
      <c r="K1286" s="2">
        <v>16989.43</v>
      </c>
      <c r="L1286" s="4">
        <v>1</v>
      </c>
      <c r="M1286" s="3">
        <v>0.17</v>
      </c>
      <c r="N1286" s="2">
        <v>254.84</v>
      </c>
    </row>
    <row r="1287" spans="1:14" x14ac:dyDescent="0.3">
      <c r="A1287" t="s">
        <v>440</v>
      </c>
      <c r="B1287" s="1">
        <v>45240</v>
      </c>
      <c r="C1287" t="s">
        <v>441</v>
      </c>
      <c r="D1287" t="s">
        <v>85</v>
      </c>
      <c r="E1287" t="s">
        <v>17</v>
      </c>
      <c r="F1287" t="s">
        <v>34</v>
      </c>
      <c r="G1287" t="s">
        <v>35</v>
      </c>
      <c r="H1287" t="s">
        <v>36</v>
      </c>
      <c r="I1287" t="s">
        <v>43</v>
      </c>
      <c r="J1287" t="s">
        <v>58</v>
      </c>
      <c r="K1287" s="2">
        <v>29694.58</v>
      </c>
      <c r="L1287" s="4">
        <v>5</v>
      </c>
      <c r="M1287" s="3">
        <v>0.1</v>
      </c>
      <c r="N1287" s="2">
        <v>1484.73</v>
      </c>
    </row>
    <row r="1288" spans="1:14" x14ac:dyDescent="0.3">
      <c r="A1288" t="s">
        <v>1838</v>
      </c>
      <c r="B1288" s="1">
        <v>45241</v>
      </c>
      <c r="C1288" t="s">
        <v>1839</v>
      </c>
      <c r="D1288" t="s">
        <v>25</v>
      </c>
      <c r="E1288" t="s">
        <v>51</v>
      </c>
      <c r="F1288" t="s">
        <v>46</v>
      </c>
      <c r="G1288" t="s">
        <v>46</v>
      </c>
      <c r="H1288" t="s">
        <v>47</v>
      </c>
      <c r="I1288" t="s">
        <v>21</v>
      </c>
      <c r="J1288" t="s">
        <v>22</v>
      </c>
      <c r="K1288" s="2">
        <v>27595.49</v>
      </c>
      <c r="L1288" s="4">
        <v>6</v>
      </c>
      <c r="M1288" s="3">
        <v>0.11</v>
      </c>
      <c r="N1288" s="2">
        <v>1241.8</v>
      </c>
    </row>
    <row r="1289" spans="1:14" x14ac:dyDescent="0.3">
      <c r="A1289" t="s">
        <v>1842</v>
      </c>
      <c r="B1289" s="1">
        <v>45241</v>
      </c>
      <c r="C1289" t="s">
        <v>1843</v>
      </c>
      <c r="D1289" t="s">
        <v>16</v>
      </c>
      <c r="E1289" t="s">
        <v>51</v>
      </c>
      <c r="F1289" t="s">
        <v>18</v>
      </c>
      <c r="G1289" t="s">
        <v>19</v>
      </c>
      <c r="H1289" t="s">
        <v>20</v>
      </c>
      <c r="I1289" t="s">
        <v>21</v>
      </c>
      <c r="J1289" t="s">
        <v>58</v>
      </c>
      <c r="K1289" s="2">
        <v>17958.599999999999</v>
      </c>
      <c r="L1289" s="4">
        <v>2</v>
      </c>
      <c r="M1289" s="3">
        <v>0.25</v>
      </c>
      <c r="N1289" s="2">
        <v>-448.96</v>
      </c>
    </row>
    <row r="1290" spans="1:14" x14ac:dyDescent="0.3">
      <c r="A1290" t="s">
        <v>1967</v>
      </c>
      <c r="B1290" s="1">
        <v>45241</v>
      </c>
      <c r="C1290" t="s">
        <v>1316</v>
      </c>
      <c r="D1290" t="s">
        <v>85</v>
      </c>
      <c r="E1290" t="s">
        <v>17</v>
      </c>
      <c r="F1290" t="s">
        <v>27</v>
      </c>
      <c r="G1290" t="s">
        <v>28</v>
      </c>
      <c r="H1290" t="s">
        <v>20</v>
      </c>
      <c r="I1290" t="s">
        <v>29</v>
      </c>
      <c r="J1290" t="s">
        <v>30</v>
      </c>
      <c r="K1290" s="2">
        <v>25244.53</v>
      </c>
      <c r="L1290" s="4">
        <v>2</v>
      </c>
      <c r="M1290" s="3">
        <v>0.13</v>
      </c>
      <c r="N1290" s="2">
        <v>883.56</v>
      </c>
    </row>
    <row r="1291" spans="1:14" x14ac:dyDescent="0.3">
      <c r="A1291" t="s">
        <v>1098</v>
      </c>
      <c r="B1291" s="1">
        <v>45241</v>
      </c>
      <c r="C1291" t="s">
        <v>1099</v>
      </c>
      <c r="D1291" t="s">
        <v>85</v>
      </c>
      <c r="E1291" t="s">
        <v>17</v>
      </c>
      <c r="F1291" t="s">
        <v>34</v>
      </c>
      <c r="G1291" t="s">
        <v>35</v>
      </c>
      <c r="H1291" t="s">
        <v>36</v>
      </c>
      <c r="I1291" t="s">
        <v>29</v>
      </c>
      <c r="J1291" t="s">
        <v>106</v>
      </c>
      <c r="K1291" s="2">
        <v>43967.43</v>
      </c>
      <c r="L1291" s="4">
        <v>2</v>
      </c>
      <c r="M1291" s="3">
        <v>0.16</v>
      </c>
      <c r="N1291" s="2">
        <v>879.35</v>
      </c>
    </row>
    <row r="1292" spans="1:14" x14ac:dyDescent="0.3">
      <c r="A1292" t="s">
        <v>534</v>
      </c>
      <c r="B1292" s="1">
        <v>45241</v>
      </c>
      <c r="C1292" t="s">
        <v>535</v>
      </c>
      <c r="D1292" t="s">
        <v>85</v>
      </c>
      <c r="E1292" t="s">
        <v>51</v>
      </c>
      <c r="F1292" t="s">
        <v>27</v>
      </c>
      <c r="G1292" t="s">
        <v>28</v>
      </c>
      <c r="H1292" t="s">
        <v>20</v>
      </c>
      <c r="I1292" t="s">
        <v>21</v>
      </c>
      <c r="J1292" t="s">
        <v>64</v>
      </c>
      <c r="K1292" s="2">
        <v>42927.96</v>
      </c>
      <c r="L1292" s="4">
        <v>6</v>
      </c>
      <c r="M1292" s="3">
        <v>0.03</v>
      </c>
      <c r="N1292" s="2">
        <v>3648.88</v>
      </c>
    </row>
    <row r="1293" spans="1:14" x14ac:dyDescent="0.3">
      <c r="A1293" t="s">
        <v>1602</v>
      </c>
      <c r="B1293" s="1">
        <v>45242</v>
      </c>
      <c r="C1293" t="s">
        <v>1603</v>
      </c>
      <c r="D1293" t="s">
        <v>50</v>
      </c>
      <c r="E1293" t="s">
        <v>51</v>
      </c>
      <c r="F1293" t="s">
        <v>34</v>
      </c>
      <c r="G1293" t="s">
        <v>35</v>
      </c>
      <c r="H1293" t="s">
        <v>36</v>
      </c>
      <c r="I1293" t="s">
        <v>29</v>
      </c>
      <c r="J1293" t="s">
        <v>106</v>
      </c>
      <c r="K1293" s="2">
        <v>39348.71</v>
      </c>
      <c r="L1293" s="4">
        <v>6</v>
      </c>
      <c r="M1293" s="3">
        <v>0.05</v>
      </c>
      <c r="N1293" s="2">
        <v>2951.15</v>
      </c>
    </row>
    <row r="1294" spans="1:14" x14ac:dyDescent="0.3">
      <c r="A1294" t="s">
        <v>2075</v>
      </c>
      <c r="B1294" s="1">
        <v>45242</v>
      </c>
      <c r="C1294" t="s">
        <v>544</v>
      </c>
      <c r="D1294" t="s">
        <v>33</v>
      </c>
      <c r="E1294" t="s">
        <v>51</v>
      </c>
      <c r="F1294" t="s">
        <v>46</v>
      </c>
      <c r="G1294" t="s">
        <v>46</v>
      </c>
      <c r="H1294" t="s">
        <v>47</v>
      </c>
      <c r="I1294" t="s">
        <v>29</v>
      </c>
      <c r="J1294" t="s">
        <v>54</v>
      </c>
      <c r="K1294" s="2">
        <v>47091.33</v>
      </c>
      <c r="L1294" s="4">
        <v>9</v>
      </c>
      <c r="M1294" s="3">
        <v>0.08</v>
      </c>
      <c r="N1294" s="2">
        <v>2825.48</v>
      </c>
    </row>
    <row r="1295" spans="1:14" x14ac:dyDescent="0.3">
      <c r="A1295" t="s">
        <v>263</v>
      </c>
      <c r="B1295" s="1">
        <v>45242</v>
      </c>
      <c r="C1295" t="s">
        <v>264</v>
      </c>
      <c r="D1295" t="s">
        <v>16</v>
      </c>
      <c r="E1295" t="s">
        <v>17</v>
      </c>
      <c r="F1295" t="s">
        <v>27</v>
      </c>
      <c r="G1295" t="s">
        <v>28</v>
      </c>
      <c r="H1295" t="s">
        <v>20</v>
      </c>
      <c r="I1295" t="s">
        <v>29</v>
      </c>
      <c r="J1295" t="s">
        <v>22</v>
      </c>
      <c r="K1295" s="2">
        <v>19805.29</v>
      </c>
      <c r="L1295" s="4">
        <v>5</v>
      </c>
      <c r="M1295" s="3">
        <v>0.15</v>
      </c>
      <c r="N1295" s="2">
        <v>495.13</v>
      </c>
    </row>
    <row r="1296" spans="1:14" x14ac:dyDescent="0.3">
      <c r="A1296" t="s">
        <v>463</v>
      </c>
      <c r="B1296" s="1">
        <v>45243</v>
      </c>
      <c r="C1296" t="s">
        <v>464</v>
      </c>
      <c r="D1296" t="s">
        <v>57</v>
      </c>
      <c r="E1296" t="s">
        <v>51</v>
      </c>
      <c r="F1296" t="s">
        <v>27</v>
      </c>
      <c r="G1296" t="s">
        <v>28</v>
      </c>
      <c r="H1296" t="s">
        <v>20</v>
      </c>
      <c r="I1296" t="s">
        <v>29</v>
      </c>
      <c r="J1296" t="s">
        <v>54</v>
      </c>
      <c r="K1296" s="2">
        <v>4535.82</v>
      </c>
      <c r="L1296" s="4">
        <v>2</v>
      </c>
      <c r="M1296" s="3">
        <v>0.24</v>
      </c>
      <c r="N1296" s="2">
        <v>-90.72</v>
      </c>
    </row>
    <row r="1297" spans="1:14" x14ac:dyDescent="0.3">
      <c r="A1297" t="s">
        <v>496</v>
      </c>
      <c r="B1297" s="1">
        <v>45243</v>
      </c>
      <c r="C1297" t="s">
        <v>446</v>
      </c>
      <c r="D1297" t="s">
        <v>16</v>
      </c>
      <c r="E1297" t="s">
        <v>51</v>
      </c>
      <c r="F1297" t="s">
        <v>18</v>
      </c>
      <c r="G1297" t="s">
        <v>19</v>
      </c>
      <c r="H1297" t="s">
        <v>20</v>
      </c>
      <c r="I1297" t="s">
        <v>21</v>
      </c>
      <c r="J1297" t="s">
        <v>22</v>
      </c>
      <c r="K1297" s="2">
        <v>29920.83</v>
      </c>
      <c r="L1297" s="4">
        <v>7</v>
      </c>
      <c r="M1297" s="3">
        <v>0.17</v>
      </c>
      <c r="N1297" s="2">
        <v>448.81</v>
      </c>
    </row>
    <row r="1298" spans="1:14" x14ac:dyDescent="0.3">
      <c r="A1298" t="s">
        <v>2081</v>
      </c>
      <c r="B1298" s="1">
        <v>45243</v>
      </c>
      <c r="C1298" t="s">
        <v>1219</v>
      </c>
      <c r="D1298" t="s">
        <v>57</v>
      </c>
      <c r="E1298" t="s">
        <v>17</v>
      </c>
      <c r="F1298" t="s">
        <v>40</v>
      </c>
      <c r="G1298" t="s">
        <v>41</v>
      </c>
      <c r="H1298" t="s">
        <v>42</v>
      </c>
      <c r="I1298" t="s">
        <v>43</v>
      </c>
      <c r="J1298" t="s">
        <v>30</v>
      </c>
      <c r="K1298" s="2">
        <v>25325.14</v>
      </c>
      <c r="L1298" s="4">
        <v>6</v>
      </c>
      <c r="M1298" s="3">
        <v>0.06</v>
      </c>
      <c r="N1298" s="2">
        <v>1772.76</v>
      </c>
    </row>
    <row r="1299" spans="1:14" x14ac:dyDescent="0.3">
      <c r="A1299" t="s">
        <v>2089</v>
      </c>
      <c r="B1299" s="1">
        <v>45243</v>
      </c>
      <c r="C1299" t="s">
        <v>2090</v>
      </c>
      <c r="D1299" t="s">
        <v>25</v>
      </c>
      <c r="E1299" t="s">
        <v>26</v>
      </c>
      <c r="F1299" t="s">
        <v>46</v>
      </c>
      <c r="G1299" t="s">
        <v>46</v>
      </c>
      <c r="H1299" t="s">
        <v>47</v>
      </c>
      <c r="I1299" t="s">
        <v>29</v>
      </c>
      <c r="J1299" t="s">
        <v>58</v>
      </c>
      <c r="K1299" s="2">
        <v>20751.400000000001</v>
      </c>
      <c r="L1299" s="4">
        <v>1</v>
      </c>
      <c r="M1299" s="3">
        <v>0.12</v>
      </c>
      <c r="N1299" s="2">
        <v>830.06</v>
      </c>
    </row>
    <row r="1300" spans="1:14" x14ac:dyDescent="0.3">
      <c r="A1300" t="s">
        <v>1397</v>
      </c>
      <c r="B1300" s="1">
        <v>45243</v>
      </c>
      <c r="C1300" t="s">
        <v>1398</v>
      </c>
      <c r="D1300" t="s">
        <v>33</v>
      </c>
      <c r="E1300" t="s">
        <v>51</v>
      </c>
      <c r="F1300" t="s">
        <v>40</v>
      </c>
      <c r="G1300" t="s">
        <v>41</v>
      </c>
      <c r="H1300" t="s">
        <v>42</v>
      </c>
      <c r="I1300" t="s">
        <v>21</v>
      </c>
      <c r="J1300" t="s">
        <v>106</v>
      </c>
      <c r="K1300" s="2">
        <v>27516.94</v>
      </c>
      <c r="L1300" s="4">
        <v>2</v>
      </c>
      <c r="M1300" s="3">
        <v>0.14000000000000001</v>
      </c>
      <c r="N1300" s="2">
        <v>825.51</v>
      </c>
    </row>
    <row r="1301" spans="1:14" x14ac:dyDescent="0.3">
      <c r="A1301" t="s">
        <v>1062</v>
      </c>
      <c r="B1301" s="1">
        <v>45244</v>
      </c>
      <c r="C1301" t="s">
        <v>1063</v>
      </c>
      <c r="D1301" t="s">
        <v>57</v>
      </c>
      <c r="E1301" t="s">
        <v>17</v>
      </c>
      <c r="F1301" t="s">
        <v>40</v>
      </c>
      <c r="G1301" t="s">
        <v>41</v>
      </c>
      <c r="H1301" t="s">
        <v>42</v>
      </c>
      <c r="I1301" t="s">
        <v>43</v>
      </c>
      <c r="J1301" t="s">
        <v>58</v>
      </c>
      <c r="K1301" s="2">
        <v>832.89</v>
      </c>
      <c r="L1301" s="4">
        <v>1</v>
      </c>
      <c r="M1301" s="3">
        <v>0.27</v>
      </c>
      <c r="N1301" s="2">
        <v>-29.15</v>
      </c>
    </row>
    <row r="1302" spans="1:14" x14ac:dyDescent="0.3">
      <c r="A1302" t="s">
        <v>1155</v>
      </c>
      <c r="B1302" s="1">
        <v>45244</v>
      </c>
      <c r="C1302" t="s">
        <v>184</v>
      </c>
      <c r="D1302" t="s">
        <v>61</v>
      </c>
      <c r="E1302" t="s">
        <v>51</v>
      </c>
      <c r="F1302" t="s">
        <v>34</v>
      </c>
      <c r="G1302" t="s">
        <v>35</v>
      </c>
      <c r="H1302" t="s">
        <v>36</v>
      </c>
      <c r="I1302" t="s">
        <v>21</v>
      </c>
      <c r="J1302" t="s">
        <v>30</v>
      </c>
      <c r="K1302" s="2">
        <v>32479.83</v>
      </c>
      <c r="L1302" s="4">
        <v>7</v>
      </c>
      <c r="M1302" s="3">
        <v>0.18</v>
      </c>
      <c r="N1302" s="2">
        <v>324.8</v>
      </c>
    </row>
    <row r="1303" spans="1:14" x14ac:dyDescent="0.3">
      <c r="A1303" t="s">
        <v>1935</v>
      </c>
      <c r="B1303" s="1">
        <v>45244</v>
      </c>
      <c r="C1303" t="s">
        <v>1679</v>
      </c>
      <c r="D1303" t="s">
        <v>61</v>
      </c>
      <c r="E1303" t="s">
        <v>26</v>
      </c>
      <c r="F1303" t="s">
        <v>34</v>
      </c>
      <c r="G1303" t="s">
        <v>35</v>
      </c>
      <c r="H1303" t="s">
        <v>36</v>
      </c>
      <c r="I1303" t="s">
        <v>29</v>
      </c>
      <c r="J1303" t="s">
        <v>58</v>
      </c>
      <c r="K1303" s="2">
        <v>25328.84</v>
      </c>
      <c r="L1303" s="4">
        <v>7</v>
      </c>
      <c r="M1303" s="3">
        <v>0.28999999999999998</v>
      </c>
      <c r="N1303" s="2">
        <v>-1139.8</v>
      </c>
    </row>
    <row r="1304" spans="1:14" x14ac:dyDescent="0.3">
      <c r="A1304" t="s">
        <v>1459</v>
      </c>
      <c r="B1304" s="1">
        <v>45244</v>
      </c>
      <c r="C1304" t="s">
        <v>1460</v>
      </c>
      <c r="D1304" t="s">
        <v>16</v>
      </c>
      <c r="E1304" t="s">
        <v>17</v>
      </c>
      <c r="F1304" t="s">
        <v>18</v>
      </c>
      <c r="G1304" t="s">
        <v>19</v>
      </c>
      <c r="H1304" t="s">
        <v>20</v>
      </c>
      <c r="I1304" t="s">
        <v>43</v>
      </c>
      <c r="J1304" t="s">
        <v>106</v>
      </c>
      <c r="K1304" s="2">
        <v>17822.37</v>
      </c>
      <c r="L1304" s="4">
        <v>2</v>
      </c>
      <c r="M1304" s="3">
        <v>0.24</v>
      </c>
      <c r="N1304" s="2">
        <v>-356.45</v>
      </c>
    </row>
    <row r="1305" spans="1:14" x14ac:dyDescent="0.3">
      <c r="A1305" t="s">
        <v>81</v>
      </c>
      <c r="B1305" s="1">
        <v>45245</v>
      </c>
      <c r="C1305" t="s">
        <v>82</v>
      </c>
      <c r="D1305" t="s">
        <v>33</v>
      </c>
      <c r="E1305" t="s">
        <v>26</v>
      </c>
      <c r="F1305" t="s">
        <v>46</v>
      </c>
      <c r="G1305" t="s">
        <v>46</v>
      </c>
      <c r="H1305" t="s">
        <v>47</v>
      </c>
      <c r="I1305" t="s">
        <v>21</v>
      </c>
      <c r="J1305" t="s">
        <v>54</v>
      </c>
      <c r="K1305" s="2">
        <v>35896.43</v>
      </c>
      <c r="L1305" s="4">
        <v>4</v>
      </c>
      <c r="M1305" s="3">
        <v>0.2</v>
      </c>
      <c r="N1305" s="2">
        <v>0</v>
      </c>
    </row>
    <row r="1306" spans="1:14" x14ac:dyDescent="0.3">
      <c r="A1306" t="s">
        <v>67</v>
      </c>
      <c r="B1306" s="1">
        <v>45245</v>
      </c>
      <c r="C1306" t="s">
        <v>68</v>
      </c>
      <c r="D1306" t="s">
        <v>50</v>
      </c>
      <c r="E1306" t="s">
        <v>17</v>
      </c>
      <c r="F1306" t="s">
        <v>46</v>
      </c>
      <c r="G1306" t="s">
        <v>46</v>
      </c>
      <c r="H1306" t="s">
        <v>47</v>
      </c>
      <c r="I1306" t="s">
        <v>29</v>
      </c>
      <c r="J1306" t="s">
        <v>58</v>
      </c>
      <c r="K1306" s="2">
        <v>30069.919999999998</v>
      </c>
      <c r="L1306" s="4">
        <v>1</v>
      </c>
      <c r="M1306" s="3">
        <v>0.19</v>
      </c>
      <c r="N1306" s="2">
        <v>150.35</v>
      </c>
    </row>
    <row r="1307" spans="1:14" x14ac:dyDescent="0.3">
      <c r="A1307" t="s">
        <v>241</v>
      </c>
      <c r="B1307" s="1">
        <v>45246</v>
      </c>
      <c r="C1307" t="s">
        <v>242</v>
      </c>
      <c r="D1307" t="s">
        <v>33</v>
      </c>
      <c r="E1307" t="s">
        <v>26</v>
      </c>
      <c r="F1307" t="s">
        <v>46</v>
      </c>
      <c r="G1307" t="s">
        <v>46</v>
      </c>
      <c r="H1307" t="s">
        <v>47</v>
      </c>
      <c r="I1307" t="s">
        <v>29</v>
      </c>
      <c r="J1307" t="s">
        <v>54</v>
      </c>
      <c r="K1307" s="2">
        <v>9981.2800000000007</v>
      </c>
      <c r="L1307" s="4">
        <v>3</v>
      </c>
      <c r="M1307" s="3">
        <v>0.12</v>
      </c>
      <c r="N1307" s="2">
        <v>399.25</v>
      </c>
    </row>
    <row r="1308" spans="1:14" x14ac:dyDescent="0.3">
      <c r="A1308" t="s">
        <v>1045</v>
      </c>
      <c r="B1308" s="1">
        <v>45246</v>
      </c>
      <c r="C1308" t="s">
        <v>948</v>
      </c>
      <c r="D1308" t="s">
        <v>85</v>
      </c>
      <c r="E1308" t="s">
        <v>51</v>
      </c>
      <c r="F1308" t="s">
        <v>40</v>
      </c>
      <c r="G1308" t="s">
        <v>41</v>
      </c>
      <c r="H1308" t="s">
        <v>42</v>
      </c>
      <c r="I1308" t="s">
        <v>43</v>
      </c>
      <c r="J1308" t="s">
        <v>54</v>
      </c>
      <c r="K1308" s="2">
        <v>22680.9</v>
      </c>
      <c r="L1308" s="4">
        <v>4</v>
      </c>
      <c r="M1308" s="3">
        <v>0.1</v>
      </c>
      <c r="N1308" s="2">
        <v>1134.05</v>
      </c>
    </row>
    <row r="1309" spans="1:14" x14ac:dyDescent="0.3">
      <c r="A1309" t="s">
        <v>1383</v>
      </c>
      <c r="B1309" s="1">
        <v>45246</v>
      </c>
      <c r="C1309" t="s">
        <v>1384</v>
      </c>
      <c r="D1309" t="s">
        <v>85</v>
      </c>
      <c r="E1309" t="s">
        <v>17</v>
      </c>
      <c r="F1309" t="s">
        <v>27</v>
      </c>
      <c r="G1309" t="s">
        <v>28</v>
      </c>
      <c r="H1309" t="s">
        <v>20</v>
      </c>
      <c r="I1309" t="s">
        <v>21</v>
      </c>
      <c r="J1309" t="s">
        <v>58</v>
      </c>
      <c r="K1309" s="2">
        <v>48101.48</v>
      </c>
      <c r="L1309" s="4">
        <v>7</v>
      </c>
      <c r="M1309" s="3">
        <v>0.15</v>
      </c>
      <c r="N1309" s="2">
        <v>1202.54</v>
      </c>
    </row>
    <row r="1310" spans="1:14" x14ac:dyDescent="0.3">
      <c r="A1310" t="s">
        <v>1481</v>
      </c>
      <c r="B1310" s="1">
        <v>45246</v>
      </c>
      <c r="C1310" t="s">
        <v>1124</v>
      </c>
      <c r="D1310" t="s">
        <v>33</v>
      </c>
      <c r="E1310" t="s">
        <v>17</v>
      </c>
      <c r="F1310" t="s">
        <v>34</v>
      </c>
      <c r="G1310" t="s">
        <v>35</v>
      </c>
      <c r="H1310" t="s">
        <v>36</v>
      </c>
      <c r="I1310" t="s">
        <v>29</v>
      </c>
      <c r="J1310" t="s">
        <v>54</v>
      </c>
      <c r="K1310" s="2">
        <v>42792.42</v>
      </c>
      <c r="L1310" s="4">
        <v>4</v>
      </c>
      <c r="M1310" s="3">
        <v>0.19</v>
      </c>
      <c r="N1310" s="2">
        <v>213.96</v>
      </c>
    </row>
    <row r="1311" spans="1:14" x14ac:dyDescent="0.3">
      <c r="A1311" t="s">
        <v>870</v>
      </c>
      <c r="B1311" s="1">
        <v>45246</v>
      </c>
      <c r="C1311" t="s">
        <v>871</v>
      </c>
      <c r="D1311" t="s">
        <v>16</v>
      </c>
      <c r="E1311" t="s">
        <v>17</v>
      </c>
      <c r="F1311" t="s">
        <v>27</v>
      </c>
      <c r="G1311" t="s">
        <v>28</v>
      </c>
      <c r="H1311" t="s">
        <v>20</v>
      </c>
      <c r="I1311" t="s">
        <v>29</v>
      </c>
      <c r="J1311" t="s">
        <v>37</v>
      </c>
      <c r="K1311" s="2">
        <v>35195.47</v>
      </c>
      <c r="L1311" s="4">
        <v>9</v>
      </c>
      <c r="M1311" s="3">
        <v>0.12</v>
      </c>
      <c r="N1311" s="2">
        <v>1407.82</v>
      </c>
    </row>
    <row r="1312" spans="1:14" x14ac:dyDescent="0.3">
      <c r="A1312" t="s">
        <v>598</v>
      </c>
      <c r="B1312" s="1">
        <v>45247</v>
      </c>
      <c r="C1312" t="s">
        <v>406</v>
      </c>
      <c r="D1312" t="s">
        <v>61</v>
      </c>
      <c r="E1312" t="s">
        <v>51</v>
      </c>
      <c r="F1312" t="s">
        <v>27</v>
      </c>
      <c r="G1312" t="s">
        <v>28</v>
      </c>
      <c r="H1312" t="s">
        <v>20</v>
      </c>
      <c r="I1312" t="s">
        <v>29</v>
      </c>
      <c r="J1312" t="s">
        <v>106</v>
      </c>
      <c r="K1312" s="2">
        <v>42409.14</v>
      </c>
      <c r="L1312" s="4">
        <v>4</v>
      </c>
      <c r="M1312" s="3">
        <v>0.05</v>
      </c>
      <c r="N1312" s="2">
        <v>3180.69</v>
      </c>
    </row>
    <row r="1313" spans="1:14" x14ac:dyDescent="0.3">
      <c r="A1313" t="s">
        <v>1440</v>
      </c>
      <c r="B1313" s="1">
        <v>45247</v>
      </c>
      <c r="C1313" t="s">
        <v>1441</v>
      </c>
      <c r="D1313" t="s">
        <v>16</v>
      </c>
      <c r="E1313" t="s">
        <v>26</v>
      </c>
      <c r="F1313" t="s">
        <v>79</v>
      </c>
      <c r="G1313" t="s">
        <v>80</v>
      </c>
      <c r="H1313" t="s">
        <v>47</v>
      </c>
      <c r="I1313" t="s">
        <v>43</v>
      </c>
      <c r="J1313" t="s">
        <v>54</v>
      </c>
      <c r="K1313" s="2">
        <v>43393.2</v>
      </c>
      <c r="L1313" s="4">
        <v>10</v>
      </c>
      <c r="M1313" s="3">
        <v>0.12</v>
      </c>
      <c r="N1313" s="2">
        <v>1735.73</v>
      </c>
    </row>
    <row r="1314" spans="1:14" x14ac:dyDescent="0.3">
      <c r="A1314" t="s">
        <v>1433</v>
      </c>
      <c r="B1314" s="1">
        <v>45247</v>
      </c>
      <c r="C1314" t="s">
        <v>900</v>
      </c>
      <c r="D1314" t="s">
        <v>33</v>
      </c>
      <c r="E1314" t="s">
        <v>26</v>
      </c>
      <c r="F1314" t="s">
        <v>34</v>
      </c>
      <c r="G1314" t="s">
        <v>35</v>
      </c>
      <c r="H1314" t="s">
        <v>36</v>
      </c>
      <c r="I1314" t="s">
        <v>21</v>
      </c>
      <c r="J1314" t="s">
        <v>54</v>
      </c>
      <c r="K1314" s="2">
        <v>22477.119999999999</v>
      </c>
      <c r="L1314" s="4">
        <v>6</v>
      </c>
      <c r="M1314" s="3">
        <v>0.04</v>
      </c>
      <c r="N1314" s="2">
        <v>1798.17</v>
      </c>
    </row>
    <row r="1315" spans="1:14" x14ac:dyDescent="0.3">
      <c r="A1315" t="s">
        <v>1267</v>
      </c>
      <c r="B1315" s="1">
        <v>45248</v>
      </c>
      <c r="C1315" t="s">
        <v>417</v>
      </c>
      <c r="D1315" t="s">
        <v>25</v>
      </c>
      <c r="E1315" t="s">
        <v>51</v>
      </c>
      <c r="F1315" t="s">
        <v>34</v>
      </c>
      <c r="G1315" t="s">
        <v>35</v>
      </c>
      <c r="H1315" t="s">
        <v>36</v>
      </c>
      <c r="I1315" t="s">
        <v>21</v>
      </c>
      <c r="J1315" t="s">
        <v>37</v>
      </c>
      <c r="K1315" s="2">
        <v>46894.27</v>
      </c>
      <c r="L1315" s="4">
        <v>2</v>
      </c>
      <c r="M1315" s="3">
        <v>0.14000000000000001</v>
      </c>
      <c r="N1315" s="2">
        <v>1406.83</v>
      </c>
    </row>
    <row r="1316" spans="1:14" x14ac:dyDescent="0.3">
      <c r="A1316" t="s">
        <v>1693</v>
      </c>
      <c r="B1316" s="1">
        <v>45248</v>
      </c>
      <c r="C1316" t="s">
        <v>399</v>
      </c>
      <c r="D1316" t="s">
        <v>50</v>
      </c>
      <c r="E1316" t="s">
        <v>51</v>
      </c>
      <c r="F1316" t="s">
        <v>79</v>
      </c>
      <c r="G1316" t="s">
        <v>80</v>
      </c>
      <c r="H1316" t="s">
        <v>47</v>
      </c>
      <c r="I1316" t="s">
        <v>21</v>
      </c>
      <c r="J1316" t="s">
        <v>30</v>
      </c>
      <c r="K1316" s="2">
        <v>31388.33</v>
      </c>
      <c r="L1316" s="4">
        <v>6</v>
      </c>
      <c r="M1316" s="3">
        <v>0.28000000000000003</v>
      </c>
      <c r="N1316" s="2">
        <v>-1255.53</v>
      </c>
    </row>
    <row r="1317" spans="1:14" x14ac:dyDescent="0.3">
      <c r="A1317" t="s">
        <v>2191</v>
      </c>
      <c r="B1317" s="1">
        <v>45248</v>
      </c>
      <c r="C1317" t="s">
        <v>1539</v>
      </c>
      <c r="D1317" t="s">
        <v>85</v>
      </c>
      <c r="E1317" t="s">
        <v>51</v>
      </c>
      <c r="F1317" t="s">
        <v>18</v>
      </c>
      <c r="G1317" t="s">
        <v>19</v>
      </c>
      <c r="H1317" t="s">
        <v>20</v>
      </c>
      <c r="I1317" t="s">
        <v>21</v>
      </c>
      <c r="J1317" t="s">
        <v>106</v>
      </c>
      <c r="K1317" s="2">
        <v>35505.949999999997</v>
      </c>
      <c r="L1317" s="4">
        <v>5</v>
      </c>
      <c r="M1317" s="3">
        <v>0.04</v>
      </c>
      <c r="N1317" s="2">
        <v>2840.48</v>
      </c>
    </row>
    <row r="1318" spans="1:14" x14ac:dyDescent="0.3">
      <c r="A1318" t="s">
        <v>1323</v>
      </c>
      <c r="B1318" s="1">
        <v>45248</v>
      </c>
      <c r="C1318" t="s">
        <v>72</v>
      </c>
      <c r="D1318" t="s">
        <v>50</v>
      </c>
      <c r="E1318" t="s">
        <v>51</v>
      </c>
      <c r="F1318" t="s">
        <v>34</v>
      </c>
      <c r="G1318" t="s">
        <v>35</v>
      </c>
      <c r="H1318" t="s">
        <v>36</v>
      </c>
      <c r="I1318" t="s">
        <v>29</v>
      </c>
      <c r="J1318" t="s">
        <v>30</v>
      </c>
      <c r="K1318" s="2">
        <v>33770.980000000003</v>
      </c>
      <c r="L1318" s="4">
        <v>5</v>
      </c>
      <c r="M1318" s="3">
        <v>0</v>
      </c>
      <c r="N1318" s="2">
        <v>3377.1</v>
      </c>
    </row>
    <row r="1319" spans="1:14" x14ac:dyDescent="0.3">
      <c r="A1319" t="s">
        <v>907</v>
      </c>
      <c r="B1319" s="1">
        <v>45248</v>
      </c>
      <c r="C1319" t="s">
        <v>244</v>
      </c>
      <c r="D1319" t="s">
        <v>16</v>
      </c>
      <c r="E1319" t="s">
        <v>51</v>
      </c>
      <c r="F1319" t="s">
        <v>40</v>
      </c>
      <c r="G1319" t="s">
        <v>41</v>
      </c>
      <c r="H1319" t="s">
        <v>42</v>
      </c>
      <c r="I1319" t="s">
        <v>43</v>
      </c>
      <c r="J1319" t="s">
        <v>58</v>
      </c>
      <c r="K1319" s="2">
        <v>44441.52</v>
      </c>
      <c r="L1319" s="4">
        <v>5</v>
      </c>
      <c r="M1319" s="3">
        <v>0.1</v>
      </c>
      <c r="N1319" s="2">
        <v>2222.08</v>
      </c>
    </row>
    <row r="1320" spans="1:14" x14ac:dyDescent="0.3">
      <c r="A1320" t="s">
        <v>549</v>
      </c>
      <c r="B1320" s="1">
        <v>45249</v>
      </c>
      <c r="C1320" t="s">
        <v>550</v>
      </c>
      <c r="D1320" t="s">
        <v>16</v>
      </c>
      <c r="E1320" t="s">
        <v>17</v>
      </c>
      <c r="F1320" t="s">
        <v>40</v>
      </c>
      <c r="G1320" t="s">
        <v>41</v>
      </c>
      <c r="H1320" t="s">
        <v>42</v>
      </c>
      <c r="I1320" t="s">
        <v>43</v>
      </c>
      <c r="J1320" t="s">
        <v>58</v>
      </c>
      <c r="K1320" s="2">
        <v>25607.82</v>
      </c>
      <c r="L1320" s="4">
        <v>7</v>
      </c>
      <c r="M1320" s="3">
        <v>0.22</v>
      </c>
      <c r="N1320" s="2">
        <v>-256.08</v>
      </c>
    </row>
    <row r="1321" spans="1:14" x14ac:dyDescent="0.3">
      <c r="A1321" t="s">
        <v>526</v>
      </c>
      <c r="B1321" s="1">
        <v>45250</v>
      </c>
      <c r="C1321" t="s">
        <v>527</v>
      </c>
      <c r="D1321" t="s">
        <v>50</v>
      </c>
      <c r="E1321" t="s">
        <v>17</v>
      </c>
      <c r="F1321" t="s">
        <v>46</v>
      </c>
      <c r="G1321" t="s">
        <v>46</v>
      </c>
      <c r="H1321" t="s">
        <v>47</v>
      </c>
      <c r="I1321" t="s">
        <v>29</v>
      </c>
      <c r="J1321" t="s">
        <v>58</v>
      </c>
      <c r="K1321" s="2">
        <v>27897.26</v>
      </c>
      <c r="L1321" s="4">
        <v>8</v>
      </c>
      <c r="M1321" s="3">
        <v>0.02</v>
      </c>
      <c r="N1321" s="2">
        <v>2510.75</v>
      </c>
    </row>
    <row r="1322" spans="1:14" x14ac:dyDescent="0.3">
      <c r="A1322" t="s">
        <v>1131</v>
      </c>
      <c r="B1322" s="1">
        <v>45250</v>
      </c>
      <c r="C1322" t="s">
        <v>1107</v>
      </c>
      <c r="D1322" t="s">
        <v>50</v>
      </c>
      <c r="E1322" t="s">
        <v>17</v>
      </c>
      <c r="F1322" t="s">
        <v>79</v>
      </c>
      <c r="G1322" t="s">
        <v>80</v>
      </c>
      <c r="H1322" t="s">
        <v>47</v>
      </c>
      <c r="I1322" t="s">
        <v>43</v>
      </c>
      <c r="J1322" t="s">
        <v>54</v>
      </c>
      <c r="K1322" s="2">
        <v>10830.86</v>
      </c>
      <c r="L1322" s="4">
        <v>3</v>
      </c>
      <c r="M1322" s="3">
        <v>0.13</v>
      </c>
      <c r="N1322" s="2">
        <v>379.08</v>
      </c>
    </row>
    <row r="1323" spans="1:14" x14ac:dyDescent="0.3">
      <c r="A1323" t="s">
        <v>1954</v>
      </c>
      <c r="B1323" s="1">
        <v>45250</v>
      </c>
      <c r="C1323" t="s">
        <v>84</v>
      </c>
      <c r="D1323" t="s">
        <v>33</v>
      </c>
      <c r="E1323" t="s">
        <v>17</v>
      </c>
      <c r="F1323" t="s">
        <v>40</v>
      </c>
      <c r="G1323" t="s">
        <v>41</v>
      </c>
      <c r="H1323" t="s">
        <v>42</v>
      </c>
      <c r="I1323" t="s">
        <v>43</v>
      </c>
      <c r="J1323" t="s">
        <v>37</v>
      </c>
      <c r="K1323" s="2">
        <v>31906.49</v>
      </c>
      <c r="L1323" s="4">
        <v>1</v>
      </c>
      <c r="M1323" s="3">
        <v>0.03</v>
      </c>
      <c r="N1323" s="2">
        <v>2712.05</v>
      </c>
    </row>
    <row r="1324" spans="1:14" x14ac:dyDescent="0.3">
      <c r="A1324" t="s">
        <v>1985</v>
      </c>
      <c r="B1324" s="1">
        <v>45250</v>
      </c>
      <c r="C1324" t="s">
        <v>1670</v>
      </c>
      <c r="D1324" t="s">
        <v>25</v>
      </c>
      <c r="E1324" t="s">
        <v>26</v>
      </c>
      <c r="F1324" t="s">
        <v>27</v>
      </c>
      <c r="G1324" t="s">
        <v>28</v>
      </c>
      <c r="H1324" t="s">
        <v>20</v>
      </c>
      <c r="I1324" t="s">
        <v>21</v>
      </c>
      <c r="J1324" t="s">
        <v>64</v>
      </c>
      <c r="K1324" s="2">
        <v>24553.33</v>
      </c>
      <c r="L1324" s="4">
        <v>7</v>
      </c>
      <c r="M1324" s="3">
        <v>0.12</v>
      </c>
      <c r="N1324" s="2">
        <v>982.13</v>
      </c>
    </row>
    <row r="1325" spans="1:14" x14ac:dyDescent="0.3">
      <c r="A1325" t="s">
        <v>811</v>
      </c>
      <c r="B1325" s="1">
        <v>45251</v>
      </c>
      <c r="C1325" t="s">
        <v>299</v>
      </c>
      <c r="D1325" t="s">
        <v>85</v>
      </c>
      <c r="E1325" t="s">
        <v>17</v>
      </c>
      <c r="F1325" t="s">
        <v>18</v>
      </c>
      <c r="G1325" t="s">
        <v>19</v>
      </c>
      <c r="H1325" t="s">
        <v>20</v>
      </c>
      <c r="I1325" t="s">
        <v>29</v>
      </c>
      <c r="J1325" t="s">
        <v>37</v>
      </c>
      <c r="K1325" s="2">
        <v>26117.35</v>
      </c>
      <c r="L1325" s="4">
        <v>6</v>
      </c>
      <c r="M1325" s="3">
        <v>0.25</v>
      </c>
      <c r="N1325" s="2">
        <v>-652.92999999999995</v>
      </c>
    </row>
    <row r="1326" spans="1:14" x14ac:dyDescent="0.3">
      <c r="A1326" t="s">
        <v>2142</v>
      </c>
      <c r="B1326" s="1">
        <v>45251</v>
      </c>
      <c r="C1326" t="s">
        <v>1137</v>
      </c>
      <c r="D1326" t="s">
        <v>33</v>
      </c>
      <c r="E1326" t="s">
        <v>51</v>
      </c>
      <c r="F1326" t="s">
        <v>79</v>
      </c>
      <c r="G1326" t="s">
        <v>80</v>
      </c>
      <c r="H1326" t="s">
        <v>47</v>
      </c>
      <c r="I1326" t="s">
        <v>21</v>
      </c>
      <c r="J1326" t="s">
        <v>58</v>
      </c>
      <c r="K1326" s="2">
        <v>36897.47</v>
      </c>
      <c r="L1326" s="4">
        <v>7</v>
      </c>
      <c r="M1326" s="3">
        <v>0.06</v>
      </c>
      <c r="N1326" s="2">
        <v>2582.8200000000002</v>
      </c>
    </row>
    <row r="1327" spans="1:14" x14ac:dyDescent="0.3">
      <c r="A1327" t="s">
        <v>1877</v>
      </c>
      <c r="B1327" s="1">
        <v>45251</v>
      </c>
      <c r="C1327" t="s">
        <v>1526</v>
      </c>
      <c r="D1327" t="s">
        <v>33</v>
      </c>
      <c r="E1327" t="s">
        <v>51</v>
      </c>
      <c r="F1327" t="s">
        <v>27</v>
      </c>
      <c r="G1327" t="s">
        <v>28</v>
      </c>
      <c r="H1327" t="s">
        <v>20</v>
      </c>
      <c r="I1327" t="s">
        <v>29</v>
      </c>
      <c r="J1327" t="s">
        <v>58</v>
      </c>
      <c r="K1327" s="2">
        <v>21530.15</v>
      </c>
      <c r="L1327" s="4">
        <v>7</v>
      </c>
      <c r="M1327" s="3">
        <v>0.15</v>
      </c>
      <c r="N1327" s="2">
        <v>538.25</v>
      </c>
    </row>
    <row r="1328" spans="1:14" x14ac:dyDescent="0.3">
      <c r="A1328" t="s">
        <v>2030</v>
      </c>
      <c r="B1328" s="1">
        <v>45251</v>
      </c>
      <c r="C1328" t="s">
        <v>2031</v>
      </c>
      <c r="D1328" t="s">
        <v>25</v>
      </c>
      <c r="E1328" t="s">
        <v>17</v>
      </c>
      <c r="F1328" t="s">
        <v>27</v>
      </c>
      <c r="G1328" t="s">
        <v>28</v>
      </c>
      <c r="H1328" t="s">
        <v>20</v>
      </c>
      <c r="I1328" t="s">
        <v>29</v>
      </c>
      <c r="J1328" t="s">
        <v>106</v>
      </c>
      <c r="K1328" s="2">
        <v>35568.78</v>
      </c>
      <c r="L1328" s="4">
        <v>8</v>
      </c>
      <c r="M1328" s="3">
        <v>0.22</v>
      </c>
      <c r="N1328" s="2">
        <v>-355.69</v>
      </c>
    </row>
    <row r="1329" spans="1:14" x14ac:dyDescent="0.3">
      <c r="A1329" t="s">
        <v>197</v>
      </c>
      <c r="B1329" s="1">
        <v>45252</v>
      </c>
      <c r="C1329" t="s">
        <v>198</v>
      </c>
      <c r="D1329" t="s">
        <v>61</v>
      </c>
      <c r="E1329" t="s">
        <v>17</v>
      </c>
      <c r="F1329" t="s">
        <v>27</v>
      </c>
      <c r="G1329" t="s">
        <v>28</v>
      </c>
      <c r="H1329" t="s">
        <v>20</v>
      </c>
      <c r="I1329" t="s">
        <v>43</v>
      </c>
      <c r="J1329" t="s">
        <v>37</v>
      </c>
      <c r="K1329" s="2">
        <v>40085.040000000001</v>
      </c>
      <c r="L1329" s="4">
        <v>1</v>
      </c>
      <c r="M1329" s="3">
        <v>0.28999999999999998</v>
      </c>
      <c r="N1329" s="2">
        <v>-1803.83</v>
      </c>
    </row>
    <row r="1330" spans="1:14" x14ac:dyDescent="0.3">
      <c r="A1330" t="s">
        <v>432</v>
      </c>
      <c r="B1330" s="1">
        <v>45252</v>
      </c>
      <c r="C1330" t="s">
        <v>433</v>
      </c>
      <c r="D1330" t="s">
        <v>16</v>
      </c>
      <c r="E1330" t="s">
        <v>17</v>
      </c>
      <c r="F1330" t="s">
        <v>40</v>
      </c>
      <c r="G1330" t="s">
        <v>41</v>
      </c>
      <c r="H1330" t="s">
        <v>42</v>
      </c>
      <c r="I1330" t="s">
        <v>29</v>
      </c>
      <c r="J1330" t="s">
        <v>30</v>
      </c>
      <c r="K1330" s="2">
        <v>29644.080000000002</v>
      </c>
      <c r="L1330" s="4">
        <v>3</v>
      </c>
      <c r="M1330" s="3">
        <v>0.28999999999999998</v>
      </c>
      <c r="N1330" s="2">
        <v>-1333.98</v>
      </c>
    </row>
    <row r="1331" spans="1:14" x14ac:dyDescent="0.3">
      <c r="A1331" t="s">
        <v>683</v>
      </c>
      <c r="B1331" s="1">
        <v>45252</v>
      </c>
      <c r="C1331" t="s">
        <v>684</v>
      </c>
      <c r="D1331" t="s">
        <v>50</v>
      </c>
      <c r="E1331" t="s">
        <v>51</v>
      </c>
      <c r="F1331" t="s">
        <v>79</v>
      </c>
      <c r="G1331" t="s">
        <v>80</v>
      </c>
      <c r="H1331" t="s">
        <v>47</v>
      </c>
      <c r="I1331" t="s">
        <v>29</v>
      </c>
      <c r="J1331" t="s">
        <v>22</v>
      </c>
      <c r="K1331" s="2">
        <v>34213.980000000003</v>
      </c>
      <c r="L1331" s="4">
        <v>3</v>
      </c>
      <c r="M1331" s="3">
        <v>0.21</v>
      </c>
      <c r="N1331" s="2">
        <v>-171.07</v>
      </c>
    </row>
    <row r="1332" spans="1:14" x14ac:dyDescent="0.3">
      <c r="A1332" t="s">
        <v>1529</v>
      </c>
      <c r="B1332" s="1">
        <v>45252</v>
      </c>
      <c r="C1332" t="s">
        <v>1530</v>
      </c>
      <c r="D1332" t="s">
        <v>85</v>
      </c>
      <c r="E1332" t="s">
        <v>26</v>
      </c>
      <c r="F1332" t="s">
        <v>40</v>
      </c>
      <c r="G1332" t="s">
        <v>41</v>
      </c>
      <c r="H1332" t="s">
        <v>42</v>
      </c>
      <c r="I1332" t="s">
        <v>43</v>
      </c>
      <c r="J1332" t="s">
        <v>54</v>
      </c>
      <c r="K1332" s="2">
        <v>41045.949999999997</v>
      </c>
      <c r="L1332" s="4">
        <v>7</v>
      </c>
      <c r="M1332" s="3">
        <v>0.09</v>
      </c>
      <c r="N1332" s="2">
        <v>2257.5300000000002</v>
      </c>
    </row>
    <row r="1333" spans="1:14" x14ac:dyDescent="0.3">
      <c r="A1333" t="s">
        <v>1925</v>
      </c>
      <c r="B1333" s="1">
        <v>45252</v>
      </c>
      <c r="C1333" t="s">
        <v>1926</v>
      </c>
      <c r="D1333" t="s">
        <v>33</v>
      </c>
      <c r="E1333" t="s">
        <v>51</v>
      </c>
      <c r="F1333" t="s">
        <v>46</v>
      </c>
      <c r="G1333" t="s">
        <v>46</v>
      </c>
      <c r="H1333" t="s">
        <v>47</v>
      </c>
      <c r="I1333" t="s">
        <v>21</v>
      </c>
      <c r="J1333" t="s">
        <v>22</v>
      </c>
      <c r="K1333" s="2">
        <v>25477.79</v>
      </c>
      <c r="L1333" s="4">
        <v>6</v>
      </c>
      <c r="M1333" s="3">
        <v>0.23</v>
      </c>
      <c r="N1333" s="2">
        <v>-382.17</v>
      </c>
    </row>
    <row r="1334" spans="1:14" x14ac:dyDescent="0.3">
      <c r="A1334" t="s">
        <v>2084</v>
      </c>
      <c r="B1334" s="1">
        <v>45252</v>
      </c>
      <c r="C1334" t="s">
        <v>2085</v>
      </c>
      <c r="D1334" t="s">
        <v>61</v>
      </c>
      <c r="E1334" t="s">
        <v>26</v>
      </c>
      <c r="F1334" t="s">
        <v>34</v>
      </c>
      <c r="G1334" t="s">
        <v>35</v>
      </c>
      <c r="H1334" t="s">
        <v>36</v>
      </c>
      <c r="I1334" t="s">
        <v>29</v>
      </c>
      <c r="J1334" t="s">
        <v>37</v>
      </c>
      <c r="K1334" s="2">
        <v>34216.18</v>
      </c>
      <c r="L1334" s="4">
        <v>9</v>
      </c>
      <c r="M1334" s="3">
        <v>0.01</v>
      </c>
      <c r="N1334" s="2">
        <v>3250.54</v>
      </c>
    </row>
    <row r="1335" spans="1:14" x14ac:dyDescent="0.3">
      <c r="A1335" t="s">
        <v>2097</v>
      </c>
      <c r="B1335" s="1">
        <v>45252</v>
      </c>
      <c r="C1335" t="s">
        <v>1425</v>
      </c>
      <c r="D1335" t="s">
        <v>33</v>
      </c>
      <c r="E1335" t="s">
        <v>51</v>
      </c>
      <c r="F1335" t="s">
        <v>27</v>
      </c>
      <c r="G1335" t="s">
        <v>28</v>
      </c>
      <c r="H1335" t="s">
        <v>20</v>
      </c>
      <c r="I1335" t="s">
        <v>43</v>
      </c>
      <c r="J1335" t="s">
        <v>30</v>
      </c>
      <c r="K1335" s="2">
        <v>9094.2000000000007</v>
      </c>
      <c r="L1335" s="4">
        <v>9</v>
      </c>
      <c r="M1335" s="3">
        <v>0.24</v>
      </c>
      <c r="N1335" s="2">
        <v>-181.88</v>
      </c>
    </row>
    <row r="1336" spans="1:14" x14ac:dyDescent="0.3">
      <c r="A1336" t="s">
        <v>1979</v>
      </c>
      <c r="B1336" s="1">
        <v>45252</v>
      </c>
      <c r="C1336" t="s">
        <v>1907</v>
      </c>
      <c r="D1336" t="s">
        <v>50</v>
      </c>
      <c r="E1336" t="s">
        <v>51</v>
      </c>
      <c r="F1336" t="s">
        <v>79</v>
      </c>
      <c r="G1336" t="s">
        <v>80</v>
      </c>
      <c r="H1336" t="s">
        <v>47</v>
      </c>
      <c r="I1336" t="s">
        <v>43</v>
      </c>
      <c r="J1336" t="s">
        <v>30</v>
      </c>
      <c r="K1336" s="2">
        <v>8170.41</v>
      </c>
      <c r="L1336" s="4">
        <v>9</v>
      </c>
      <c r="M1336" s="3">
        <v>0.04</v>
      </c>
      <c r="N1336" s="2">
        <v>653.63</v>
      </c>
    </row>
    <row r="1337" spans="1:14" x14ac:dyDescent="0.3">
      <c r="A1337" t="s">
        <v>615</v>
      </c>
      <c r="B1337" s="1">
        <v>45252</v>
      </c>
      <c r="C1337" t="s">
        <v>616</v>
      </c>
      <c r="D1337" t="s">
        <v>33</v>
      </c>
      <c r="E1337" t="s">
        <v>26</v>
      </c>
      <c r="F1337" t="s">
        <v>18</v>
      </c>
      <c r="G1337" t="s">
        <v>19</v>
      </c>
      <c r="H1337" t="s">
        <v>20</v>
      </c>
      <c r="I1337" t="s">
        <v>21</v>
      </c>
      <c r="J1337" t="s">
        <v>30</v>
      </c>
      <c r="K1337" s="2">
        <v>6934.56</v>
      </c>
      <c r="L1337" s="4">
        <v>5</v>
      </c>
      <c r="M1337" s="3">
        <v>0.23</v>
      </c>
      <c r="N1337" s="2">
        <v>-104.02</v>
      </c>
    </row>
    <row r="1338" spans="1:14" x14ac:dyDescent="0.3">
      <c r="A1338" t="s">
        <v>709</v>
      </c>
      <c r="B1338" s="1">
        <v>45254</v>
      </c>
      <c r="C1338" t="s">
        <v>710</v>
      </c>
      <c r="D1338" t="s">
        <v>57</v>
      </c>
      <c r="E1338" t="s">
        <v>51</v>
      </c>
      <c r="F1338" t="s">
        <v>34</v>
      </c>
      <c r="G1338" t="s">
        <v>35</v>
      </c>
      <c r="H1338" t="s">
        <v>36</v>
      </c>
      <c r="I1338" t="s">
        <v>43</v>
      </c>
      <c r="J1338" t="s">
        <v>37</v>
      </c>
      <c r="K1338" s="2">
        <v>28115.56</v>
      </c>
      <c r="L1338" s="4">
        <v>9</v>
      </c>
      <c r="M1338" s="3">
        <v>0.17</v>
      </c>
      <c r="N1338" s="2">
        <v>421.73</v>
      </c>
    </row>
    <row r="1339" spans="1:14" x14ac:dyDescent="0.3">
      <c r="A1339" t="s">
        <v>1231</v>
      </c>
      <c r="B1339" s="1">
        <v>45254</v>
      </c>
      <c r="C1339" t="s">
        <v>178</v>
      </c>
      <c r="D1339" t="s">
        <v>57</v>
      </c>
      <c r="E1339" t="s">
        <v>17</v>
      </c>
      <c r="F1339" t="s">
        <v>27</v>
      </c>
      <c r="G1339" t="s">
        <v>28</v>
      </c>
      <c r="H1339" t="s">
        <v>20</v>
      </c>
      <c r="I1339" t="s">
        <v>29</v>
      </c>
      <c r="J1339" t="s">
        <v>54</v>
      </c>
      <c r="K1339" s="2">
        <v>24674.12</v>
      </c>
      <c r="L1339" s="4">
        <v>7</v>
      </c>
      <c r="M1339" s="3">
        <v>0.17</v>
      </c>
      <c r="N1339" s="2">
        <v>370.11</v>
      </c>
    </row>
    <row r="1340" spans="1:14" x14ac:dyDescent="0.3">
      <c r="A1340" t="s">
        <v>1595</v>
      </c>
      <c r="B1340" s="1">
        <v>45254</v>
      </c>
      <c r="C1340" t="s">
        <v>1596</v>
      </c>
      <c r="D1340" t="s">
        <v>33</v>
      </c>
      <c r="E1340" t="s">
        <v>17</v>
      </c>
      <c r="F1340" t="s">
        <v>27</v>
      </c>
      <c r="G1340" t="s">
        <v>28</v>
      </c>
      <c r="H1340" t="s">
        <v>20</v>
      </c>
      <c r="I1340" t="s">
        <v>43</v>
      </c>
      <c r="J1340" t="s">
        <v>22</v>
      </c>
      <c r="K1340" s="2">
        <v>46451.57</v>
      </c>
      <c r="L1340" s="4">
        <v>8</v>
      </c>
      <c r="M1340" s="3">
        <v>0.18</v>
      </c>
      <c r="N1340" s="2">
        <v>464.52</v>
      </c>
    </row>
    <row r="1341" spans="1:14" x14ac:dyDescent="0.3">
      <c r="A1341" t="s">
        <v>1042</v>
      </c>
      <c r="B1341" s="1">
        <v>45254</v>
      </c>
      <c r="C1341" t="s">
        <v>32</v>
      </c>
      <c r="D1341" t="s">
        <v>61</v>
      </c>
      <c r="E1341" t="s">
        <v>17</v>
      </c>
      <c r="F1341" t="s">
        <v>40</v>
      </c>
      <c r="G1341" t="s">
        <v>41</v>
      </c>
      <c r="H1341" t="s">
        <v>42</v>
      </c>
      <c r="I1341" t="s">
        <v>29</v>
      </c>
      <c r="J1341" t="s">
        <v>64</v>
      </c>
      <c r="K1341" s="2">
        <v>8575.7000000000007</v>
      </c>
      <c r="L1341" s="4">
        <v>2</v>
      </c>
      <c r="M1341" s="3">
        <v>0.01</v>
      </c>
      <c r="N1341" s="2">
        <v>814.69</v>
      </c>
    </row>
    <row r="1342" spans="1:14" x14ac:dyDescent="0.3">
      <c r="A1342" t="s">
        <v>2258</v>
      </c>
      <c r="B1342" s="1">
        <v>45255</v>
      </c>
      <c r="C1342" t="s">
        <v>1425</v>
      </c>
      <c r="D1342" t="s">
        <v>16</v>
      </c>
      <c r="E1342" t="s">
        <v>26</v>
      </c>
      <c r="F1342" t="s">
        <v>18</v>
      </c>
      <c r="G1342" t="s">
        <v>19</v>
      </c>
      <c r="H1342" t="s">
        <v>20</v>
      </c>
      <c r="I1342" t="s">
        <v>43</v>
      </c>
      <c r="J1342" t="s">
        <v>54</v>
      </c>
      <c r="K1342" s="2">
        <v>8804.2800000000007</v>
      </c>
      <c r="L1342" s="4">
        <v>7</v>
      </c>
      <c r="M1342" s="3">
        <v>0.02</v>
      </c>
      <c r="N1342" s="2">
        <v>792.39</v>
      </c>
    </row>
    <row r="1343" spans="1:14" x14ac:dyDescent="0.3">
      <c r="A1343" t="s">
        <v>2126</v>
      </c>
      <c r="B1343" s="1">
        <v>45255</v>
      </c>
      <c r="C1343" t="s">
        <v>1976</v>
      </c>
      <c r="D1343" t="s">
        <v>85</v>
      </c>
      <c r="E1343" t="s">
        <v>51</v>
      </c>
      <c r="F1343" t="s">
        <v>46</v>
      </c>
      <c r="G1343" t="s">
        <v>46</v>
      </c>
      <c r="H1343" t="s">
        <v>47</v>
      </c>
      <c r="I1343" t="s">
        <v>21</v>
      </c>
      <c r="J1343" t="s">
        <v>30</v>
      </c>
      <c r="K1343" s="2">
        <v>33359.53</v>
      </c>
      <c r="L1343" s="4">
        <v>4</v>
      </c>
      <c r="M1343" s="3">
        <v>0.05</v>
      </c>
      <c r="N1343" s="2">
        <v>2501.96</v>
      </c>
    </row>
    <row r="1344" spans="1:14" x14ac:dyDescent="0.3">
      <c r="A1344" t="s">
        <v>647</v>
      </c>
      <c r="B1344" s="1">
        <v>45256</v>
      </c>
      <c r="C1344" t="s">
        <v>648</v>
      </c>
      <c r="D1344" t="s">
        <v>33</v>
      </c>
      <c r="E1344" t="s">
        <v>17</v>
      </c>
      <c r="F1344" t="s">
        <v>27</v>
      </c>
      <c r="G1344" t="s">
        <v>28</v>
      </c>
      <c r="H1344" t="s">
        <v>20</v>
      </c>
      <c r="I1344" t="s">
        <v>29</v>
      </c>
      <c r="J1344" t="s">
        <v>64</v>
      </c>
      <c r="K1344" s="2">
        <v>4437.24</v>
      </c>
      <c r="L1344" s="4">
        <v>1</v>
      </c>
      <c r="M1344" s="3">
        <v>0.13</v>
      </c>
      <c r="N1344" s="2">
        <v>155.30000000000001</v>
      </c>
    </row>
    <row r="1345" spans="1:14" x14ac:dyDescent="0.3">
      <c r="A1345" t="s">
        <v>711</v>
      </c>
      <c r="B1345" s="1">
        <v>45256</v>
      </c>
      <c r="C1345" t="s">
        <v>357</v>
      </c>
      <c r="D1345" t="s">
        <v>33</v>
      </c>
      <c r="E1345" t="s">
        <v>26</v>
      </c>
      <c r="F1345" t="s">
        <v>46</v>
      </c>
      <c r="G1345" t="s">
        <v>46</v>
      </c>
      <c r="H1345" t="s">
        <v>47</v>
      </c>
      <c r="I1345" t="s">
        <v>21</v>
      </c>
      <c r="J1345" t="s">
        <v>22</v>
      </c>
      <c r="K1345" s="2">
        <v>17381.919999999998</v>
      </c>
      <c r="L1345" s="4">
        <v>6</v>
      </c>
      <c r="M1345" s="3">
        <v>0.01</v>
      </c>
      <c r="N1345" s="2">
        <v>1651.28</v>
      </c>
    </row>
    <row r="1346" spans="1:14" x14ac:dyDescent="0.3">
      <c r="A1346" t="s">
        <v>2279</v>
      </c>
      <c r="B1346" s="1">
        <v>45256</v>
      </c>
      <c r="C1346" t="s">
        <v>453</v>
      </c>
      <c r="D1346" t="s">
        <v>85</v>
      </c>
      <c r="E1346" t="s">
        <v>51</v>
      </c>
      <c r="F1346" t="s">
        <v>18</v>
      </c>
      <c r="G1346" t="s">
        <v>19</v>
      </c>
      <c r="H1346" t="s">
        <v>20</v>
      </c>
      <c r="I1346" t="s">
        <v>29</v>
      </c>
      <c r="J1346" t="s">
        <v>58</v>
      </c>
      <c r="K1346" s="2">
        <v>23186.21</v>
      </c>
      <c r="L1346" s="4">
        <v>4</v>
      </c>
      <c r="M1346" s="3">
        <v>0.21</v>
      </c>
      <c r="N1346" s="2">
        <v>-115.93</v>
      </c>
    </row>
    <row r="1347" spans="1:14" x14ac:dyDescent="0.3">
      <c r="A1347" t="s">
        <v>2053</v>
      </c>
      <c r="B1347" s="1">
        <v>45256</v>
      </c>
      <c r="C1347" t="s">
        <v>595</v>
      </c>
      <c r="D1347" t="s">
        <v>16</v>
      </c>
      <c r="E1347" t="s">
        <v>26</v>
      </c>
      <c r="F1347" t="s">
        <v>18</v>
      </c>
      <c r="G1347" t="s">
        <v>19</v>
      </c>
      <c r="H1347" t="s">
        <v>20</v>
      </c>
      <c r="I1347" t="s">
        <v>29</v>
      </c>
      <c r="J1347" t="s">
        <v>58</v>
      </c>
      <c r="K1347" s="2">
        <v>29410.65</v>
      </c>
      <c r="L1347" s="4">
        <v>10</v>
      </c>
      <c r="M1347" s="3">
        <v>0.15</v>
      </c>
      <c r="N1347" s="2">
        <v>735.27</v>
      </c>
    </row>
    <row r="1348" spans="1:14" x14ac:dyDescent="0.3">
      <c r="A1348" t="s">
        <v>283</v>
      </c>
      <c r="B1348" s="1">
        <v>45256</v>
      </c>
      <c r="C1348" t="s">
        <v>284</v>
      </c>
      <c r="D1348" t="s">
        <v>33</v>
      </c>
      <c r="E1348" t="s">
        <v>51</v>
      </c>
      <c r="F1348" t="s">
        <v>46</v>
      </c>
      <c r="G1348" t="s">
        <v>46</v>
      </c>
      <c r="H1348" t="s">
        <v>47</v>
      </c>
      <c r="I1348" t="s">
        <v>29</v>
      </c>
      <c r="J1348" t="s">
        <v>54</v>
      </c>
      <c r="K1348" s="2">
        <v>13494.43</v>
      </c>
      <c r="L1348" s="4">
        <v>5</v>
      </c>
      <c r="M1348" s="3">
        <v>7.0000000000000007E-2</v>
      </c>
      <c r="N1348" s="2">
        <v>877.14</v>
      </c>
    </row>
    <row r="1349" spans="1:14" x14ac:dyDescent="0.3">
      <c r="A1349" t="s">
        <v>193</v>
      </c>
      <c r="B1349" s="1">
        <v>45257</v>
      </c>
      <c r="C1349" t="s">
        <v>194</v>
      </c>
      <c r="D1349" t="s">
        <v>16</v>
      </c>
      <c r="E1349" t="s">
        <v>26</v>
      </c>
      <c r="F1349" t="s">
        <v>40</v>
      </c>
      <c r="G1349" t="s">
        <v>41</v>
      </c>
      <c r="H1349" t="s">
        <v>42</v>
      </c>
      <c r="I1349" t="s">
        <v>21</v>
      </c>
      <c r="J1349" t="s">
        <v>106</v>
      </c>
      <c r="K1349" s="2">
        <v>23841.9</v>
      </c>
      <c r="L1349" s="4">
        <v>5</v>
      </c>
      <c r="M1349" s="3">
        <v>0.13</v>
      </c>
      <c r="N1349" s="2">
        <v>834.47</v>
      </c>
    </row>
    <row r="1350" spans="1:14" x14ac:dyDescent="0.3">
      <c r="A1350" t="s">
        <v>1528</v>
      </c>
      <c r="B1350" s="1">
        <v>45257</v>
      </c>
      <c r="C1350" t="s">
        <v>108</v>
      </c>
      <c r="D1350" t="s">
        <v>57</v>
      </c>
      <c r="E1350" t="s">
        <v>17</v>
      </c>
      <c r="F1350" t="s">
        <v>40</v>
      </c>
      <c r="G1350" t="s">
        <v>41</v>
      </c>
      <c r="H1350" t="s">
        <v>42</v>
      </c>
      <c r="I1350" t="s">
        <v>29</v>
      </c>
      <c r="J1350" t="s">
        <v>22</v>
      </c>
      <c r="K1350" s="2">
        <v>23584.240000000002</v>
      </c>
      <c r="L1350" s="4">
        <v>3</v>
      </c>
      <c r="M1350" s="3">
        <v>0.28000000000000003</v>
      </c>
      <c r="N1350" s="2">
        <v>-943.37</v>
      </c>
    </row>
    <row r="1351" spans="1:14" x14ac:dyDescent="0.3">
      <c r="A1351" t="s">
        <v>681</v>
      </c>
      <c r="B1351" s="1">
        <v>45257</v>
      </c>
      <c r="C1351" t="s">
        <v>682</v>
      </c>
      <c r="D1351" t="s">
        <v>85</v>
      </c>
      <c r="E1351" t="s">
        <v>51</v>
      </c>
      <c r="F1351" t="s">
        <v>34</v>
      </c>
      <c r="G1351" t="s">
        <v>35</v>
      </c>
      <c r="H1351" t="s">
        <v>36</v>
      </c>
      <c r="I1351" t="s">
        <v>21</v>
      </c>
      <c r="J1351" t="s">
        <v>37</v>
      </c>
      <c r="K1351" s="2">
        <v>9080.4699999999993</v>
      </c>
      <c r="L1351" s="4">
        <v>3</v>
      </c>
      <c r="M1351" s="3">
        <v>0.03</v>
      </c>
      <c r="N1351" s="2">
        <v>771.84</v>
      </c>
    </row>
    <row r="1352" spans="1:14" x14ac:dyDescent="0.3">
      <c r="A1352" t="s">
        <v>306</v>
      </c>
      <c r="B1352" s="1">
        <v>45257</v>
      </c>
      <c r="C1352" t="s">
        <v>307</v>
      </c>
      <c r="D1352" t="s">
        <v>85</v>
      </c>
      <c r="E1352" t="s">
        <v>26</v>
      </c>
      <c r="F1352" t="s">
        <v>27</v>
      </c>
      <c r="G1352" t="s">
        <v>28</v>
      </c>
      <c r="H1352" t="s">
        <v>20</v>
      </c>
      <c r="I1352" t="s">
        <v>29</v>
      </c>
      <c r="J1352" t="s">
        <v>106</v>
      </c>
      <c r="K1352" s="2">
        <v>35498.25</v>
      </c>
      <c r="L1352" s="4">
        <v>1</v>
      </c>
      <c r="M1352" s="3">
        <v>0.16</v>
      </c>
      <c r="N1352" s="2">
        <v>709.97</v>
      </c>
    </row>
    <row r="1353" spans="1:14" x14ac:dyDescent="0.3">
      <c r="A1353" t="s">
        <v>1677</v>
      </c>
      <c r="B1353" s="1">
        <v>45257</v>
      </c>
      <c r="C1353" t="s">
        <v>1301</v>
      </c>
      <c r="D1353" t="s">
        <v>25</v>
      </c>
      <c r="E1353" t="s">
        <v>17</v>
      </c>
      <c r="F1353" t="s">
        <v>79</v>
      </c>
      <c r="G1353" t="s">
        <v>80</v>
      </c>
      <c r="H1353" t="s">
        <v>47</v>
      </c>
      <c r="I1353" t="s">
        <v>21</v>
      </c>
      <c r="J1353" t="s">
        <v>58</v>
      </c>
      <c r="K1353" s="2">
        <v>33939.79</v>
      </c>
      <c r="L1353" s="4">
        <v>7</v>
      </c>
      <c r="M1353" s="3">
        <v>0.27</v>
      </c>
      <c r="N1353" s="2">
        <v>-1187.8900000000001</v>
      </c>
    </row>
    <row r="1354" spans="1:14" x14ac:dyDescent="0.3">
      <c r="A1354" t="s">
        <v>2153</v>
      </c>
      <c r="B1354" s="1">
        <v>45257</v>
      </c>
      <c r="C1354" t="s">
        <v>999</v>
      </c>
      <c r="D1354" t="s">
        <v>25</v>
      </c>
      <c r="E1354" t="s">
        <v>17</v>
      </c>
      <c r="F1354" t="s">
        <v>18</v>
      </c>
      <c r="G1354" t="s">
        <v>19</v>
      </c>
      <c r="H1354" t="s">
        <v>20</v>
      </c>
      <c r="I1354" t="s">
        <v>21</v>
      </c>
      <c r="J1354" t="s">
        <v>22</v>
      </c>
      <c r="K1354" s="2">
        <v>9421.01</v>
      </c>
      <c r="L1354" s="4">
        <v>5</v>
      </c>
      <c r="M1354" s="3">
        <v>0.3</v>
      </c>
      <c r="N1354" s="2">
        <v>-471.05</v>
      </c>
    </row>
    <row r="1355" spans="1:14" x14ac:dyDescent="0.3">
      <c r="A1355" t="s">
        <v>213</v>
      </c>
      <c r="B1355" s="1">
        <v>45258</v>
      </c>
      <c r="C1355" t="s">
        <v>214</v>
      </c>
      <c r="D1355" t="s">
        <v>57</v>
      </c>
      <c r="E1355" t="s">
        <v>26</v>
      </c>
      <c r="F1355" t="s">
        <v>46</v>
      </c>
      <c r="G1355" t="s">
        <v>46</v>
      </c>
      <c r="H1355" t="s">
        <v>47</v>
      </c>
      <c r="I1355" t="s">
        <v>21</v>
      </c>
      <c r="J1355" t="s">
        <v>37</v>
      </c>
      <c r="K1355" s="2">
        <v>43159.99</v>
      </c>
      <c r="L1355" s="4">
        <v>4</v>
      </c>
      <c r="M1355" s="3">
        <v>0.14000000000000001</v>
      </c>
      <c r="N1355" s="2">
        <v>1294.8</v>
      </c>
    </row>
    <row r="1356" spans="1:14" x14ac:dyDescent="0.3">
      <c r="A1356" t="s">
        <v>338</v>
      </c>
      <c r="B1356" s="1">
        <v>45258</v>
      </c>
      <c r="C1356" t="s">
        <v>339</v>
      </c>
      <c r="D1356" t="s">
        <v>25</v>
      </c>
      <c r="E1356" t="s">
        <v>51</v>
      </c>
      <c r="F1356" t="s">
        <v>18</v>
      </c>
      <c r="G1356" t="s">
        <v>19</v>
      </c>
      <c r="H1356" t="s">
        <v>20</v>
      </c>
      <c r="I1356" t="s">
        <v>29</v>
      </c>
      <c r="J1356" t="s">
        <v>106</v>
      </c>
      <c r="K1356" s="2">
        <v>23495.91</v>
      </c>
      <c r="L1356" s="4">
        <v>8</v>
      </c>
      <c r="M1356" s="3">
        <v>0.15</v>
      </c>
      <c r="N1356" s="2">
        <v>587.4</v>
      </c>
    </row>
    <row r="1357" spans="1:14" x14ac:dyDescent="0.3">
      <c r="A1357" t="s">
        <v>500</v>
      </c>
      <c r="B1357" s="1">
        <v>45258</v>
      </c>
      <c r="C1357" t="s">
        <v>501</v>
      </c>
      <c r="D1357" t="s">
        <v>85</v>
      </c>
      <c r="E1357" t="s">
        <v>51</v>
      </c>
      <c r="F1357" t="s">
        <v>40</v>
      </c>
      <c r="G1357" t="s">
        <v>41</v>
      </c>
      <c r="H1357" t="s">
        <v>42</v>
      </c>
      <c r="I1357" t="s">
        <v>29</v>
      </c>
      <c r="J1357" t="s">
        <v>54</v>
      </c>
      <c r="K1357" s="2">
        <v>14874.68</v>
      </c>
      <c r="L1357" s="4">
        <v>4</v>
      </c>
      <c r="M1357" s="3">
        <v>0.13</v>
      </c>
      <c r="N1357" s="2">
        <v>520.61</v>
      </c>
    </row>
    <row r="1358" spans="1:14" x14ac:dyDescent="0.3">
      <c r="A1358" t="s">
        <v>979</v>
      </c>
      <c r="B1358" s="1">
        <v>45258</v>
      </c>
      <c r="C1358" t="s">
        <v>194</v>
      </c>
      <c r="D1358" t="s">
        <v>61</v>
      </c>
      <c r="E1358" t="s">
        <v>51</v>
      </c>
      <c r="F1358" t="s">
        <v>46</v>
      </c>
      <c r="G1358" t="s">
        <v>46</v>
      </c>
      <c r="H1358" t="s">
        <v>47</v>
      </c>
      <c r="I1358" t="s">
        <v>21</v>
      </c>
      <c r="J1358" t="s">
        <v>64</v>
      </c>
      <c r="K1358" s="2">
        <v>4584.04</v>
      </c>
      <c r="L1358" s="4">
        <v>8</v>
      </c>
      <c r="M1358" s="3">
        <v>0.19</v>
      </c>
      <c r="N1358" s="2">
        <v>22.92</v>
      </c>
    </row>
    <row r="1359" spans="1:14" x14ac:dyDescent="0.3">
      <c r="A1359" t="s">
        <v>1681</v>
      </c>
      <c r="B1359" s="1">
        <v>45258</v>
      </c>
      <c r="C1359" t="s">
        <v>728</v>
      </c>
      <c r="D1359" t="s">
        <v>85</v>
      </c>
      <c r="E1359" t="s">
        <v>51</v>
      </c>
      <c r="F1359" t="s">
        <v>34</v>
      </c>
      <c r="G1359" t="s">
        <v>35</v>
      </c>
      <c r="H1359" t="s">
        <v>36</v>
      </c>
      <c r="I1359" t="s">
        <v>43</v>
      </c>
      <c r="J1359" t="s">
        <v>54</v>
      </c>
      <c r="K1359" s="2">
        <v>12314.89</v>
      </c>
      <c r="L1359" s="4">
        <v>6</v>
      </c>
      <c r="M1359" s="3">
        <v>0.28000000000000003</v>
      </c>
      <c r="N1359" s="2">
        <v>-492.6</v>
      </c>
    </row>
    <row r="1360" spans="1:14" x14ac:dyDescent="0.3">
      <c r="A1360" t="s">
        <v>2232</v>
      </c>
      <c r="B1360" s="1">
        <v>45258</v>
      </c>
      <c r="C1360" t="s">
        <v>180</v>
      </c>
      <c r="D1360" t="s">
        <v>25</v>
      </c>
      <c r="E1360" t="s">
        <v>51</v>
      </c>
      <c r="F1360" t="s">
        <v>79</v>
      </c>
      <c r="G1360" t="s">
        <v>80</v>
      </c>
      <c r="H1360" t="s">
        <v>47</v>
      </c>
      <c r="I1360" t="s">
        <v>43</v>
      </c>
      <c r="J1360" t="s">
        <v>37</v>
      </c>
      <c r="K1360" s="2">
        <v>19747.55</v>
      </c>
      <c r="L1360" s="4">
        <v>5</v>
      </c>
      <c r="M1360" s="3">
        <v>0.05</v>
      </c>
      <c r="N1360" s="2">
        <v>1481.07</v>
      </c>
    </row>
    <row r="1361" spans="1:14" x14ac:dyDescent="0.3">
      <c r="A1361" t="s">
        <v>857</v>
      </c>
      <c r="B1361" s="1">
        <v>45258</v>
      </c>
      <c r="C1361" t="s">
        <v>858</v>
      </c>
      <c r="D1361" t="s">
        <v>85</v>
      </c>
      <c r="E1361" t="s">
        <v>17</v>
      </c>
      <c r="F1361" t="s">
        <v>79</v>
      </c>
      <c r="G1361" t="s">
        <v>80</v>
      </c>
      <c r="H1361" t="s">
        <v>47</v>
      </c>
      <c r="I1361" t="s">
        <v>29</v>
      </c>
      <c r="J1361" t="s">
        <v>54</v>
      </c>
      <c r="K1361" s="2">
        <v>41302.959999999999</v>
      </c>
      <c r="L1361" s="4">
        <v>3</v>
      </c>
      <c r="M1361" s="3">
        <v>0.04</v>
      </c>
      <c r="N1361" s="2">
        <v>3304.24</v>
      </c>
    </row>
    <row r="1362" spans="1:14" x14ac:dyDescent="0.3">
      <c r="A1362" t="s">
        <v>302</v>
      </c>
      <c r="B1362" s="1">
        <v>45259</v>
      </c>
      <c r="C1362" t="s">
        <v>303</v>
      </c>
      <c r="D1362" t="s">
        <v>16</v>
      </c>
      <c r="E1362" t="s">
        <v>17</v>
      </c>
      <c r="F1362" t="s">
        <v>46</v>
      </c>
      <c r="G1362" t="s">
        <v>46</v>
      </c>
      <c r="H1362" t="s">
        <v>47</v>
      </c>
      <c r="I1362" t="s">
        <v>43</v>
      </c>
      <c r="J1362" t="s">
        <v>22</v>
      </c>
      <c r="K1362" s="2">
        <v>33471.15</v>
      </c>
      <c r="L1362" s="4">
        <v>4</v>
      </c>
      <c r="M1362" s="3">
        <v>0.17</v>
      </c>
      <c r="N1362" s="2">
        <v>502.07</v>
      </c>
    </row>
    <row r="1363" spans="1:14" x14ac:dyDescent="0.3">
      <c r="A1363" t="s">
        <v>332</v>
      </c>
      <c r="B1363" s="1">
        <v>45259</v>
      </c>
      <c r="C1363" t="s">
        <v>333</v>
      </c>
      <c r="D1363" t="s">
        <v>61</v>
      </c>
      <c r="E1363" t="s">
        <v>17</v>
      </c>
      <c r="F1363" t="s">
        <v>46</v>
      </c>
      <c r="G1363" t="s">
        <v>46</v>
      </c>
      <c r="H1363" t="s">
        <v>47</v>
      </c>
      <c r="I1363" t="s">
        <v>43</v>
      </c>
      <c r="J1363" t="s">
        <v>30</v>
      </c>
      <c r="K1363" s="2">
        <v>8802.86</v>
      </c>
      <c r="L1363" s="4">
        <v>5</v>
      </c>
      <c r="M1363" s="3">
        <v>0.19</v>
      </c>
      <c r="N1363" s="2">
        <v>44.01</v>
      </c>
    </row>
    <row r="1364" spans="1:14" x14ac:dyDescent="0.3">
      <c r="A1364" t="s">
        <v>530</v>
      </c>
      <c r="B1364" s="1">
        <v>45259</v>
      </c>
      <c r="C1364" t="s">
        <v>531</v>
      </c>
      <c r="D1364" t="s">
        <v>25</v>
      </c>
      <c r="E1364" t="s">
        <v>17</v>
      </c>
      <c r="F1364" t="s">
        <v>18</v>
      </c>
      <c r="G1364" t="s">
        <v>19</v>
      </c>
      <c r="H1364" t="s">
        <v>20</v>
      </c>
      <c r="I1364" t="s">
        <v>29</v>
      </c>
      <c r="J1364" t="s">
        <v>106</v>
      </c>
      <c r="K1364" s="2">
        <v>16994.47</v>
      </c>
      <c r="L1364" s="4">
        <v>10</v>
      </c>
      <c r="M1364" s="3">
        <v>0.08</v>
      </c>
      <c r="N1364" s="2">
        <v>1019.67</v>
      </c>
    </row>
    <row r="1365" spans="1:14" x14ac:dyDescent="0.3">
      <c r="A1365" t="s">
        <v>717</v>
      </c>
      <c r="B1365" s="1">
        <v>45259</v>
      </c>
      <c r="C1365" t="s">
        <v>718</v>
      </c>
      <c r="D1365" t="s">
        <v>33</v>
      </c>
      <c r="E1365" t="s">
        <v>51</v>
      </c>
      <c r="F1365" t="s">
        <v>18</v>
      </c>
      <c r="G1365" t="s">
        <v>19</v>
      </c>
      <c r="H1365" t="s">
        <v>20</v>
      </c>
      <c r="I1365" t="s">
        <v>21</v>
      </c>
      <c r="J1365" t="s">
        <v>30</v>
      </c>
      <c r="K1365" s="2">
        <v>23504.82</v>
      </c>
      <c r="L1365" s="4">
        <v>1</v>
      </c>
      <c r="M1365" s="3">
        <v>7.0000000000000007E-2</v>
      </c>
      <c r="N1365" s="2">
        <v>1527.81</v>
      </c>
    </row>
    <row r="1366" spans="1:14" x14ac:dyDescent="0.3">
      <c r="A1366" t="s">
        <v>2150</v>
      </c>
      <c r="B1366" s="1">
        <v>45259</v>
      </c>
      <c r="C1366" t="s">
        <v>1205</v>
      </c>
      <c r="D1366" t="s">
        <v>57</v>
      </c>
      <c r="E1366" t="s">
        <v>17</v>
      </c>
      <c r="F1366" t="s">
        <v>46</v>
      </c>
      <c r="G1366" t="s">
        <v>46</v>
      </c>
      <c r="H1366" t="s">
        <v>47</v>
      </c>
      <c r="I1366" t="s">
        <v>21</v>
      </c>
      <c r="J1366" t="s">
        <v>37</v>
      </c>
      <c r="K1366" s="2">
        <v>3576.06</v>
      </c>
      <c r="L1366" s="4">
        <v>9</v>
      </c>
      <c r="M1366" s="3">
        <v>0.21</v>
      </c>
      <c r="N1366" s="2">
        <v>-17.88</v>
      </c>
    </row>
    <row r="1367" spans="1:14" x14ac:dyDescent="0.3">
      <c r="A1367" t="s">
        <v>925</v>
      </c>
      <c r="B1367" s="1">
        <v>45259</v>
      </c>
      <c r="C1367" t="s">
        <v>926</v>
      </c>
      <c r="D1367" t="s">
        <v>85</v>
      </c>
      <c r="E1367" t="s">
        <v>17</v>
      </c>
      <c r="F1367" t="s">
        <v>46</v>
      </c>
      <c r="G1367" t="s">
        <v>46</v>
      </c>
      <c r="H1367" t="s">
        <v>47</v>
      </c>
      <c r="I1367" t="s">
        <v>43</v>
      </c>
      <c r="J1367" t="s">
        <v>54</v>
      </c>
      <c r="K1367" s="2">
        <v>16575.93</v>
      </c>
      <c r="L1367" s="4">
        <v>4</v>
      </c>
      <c r="M1367" s="3">
        <v>0.18</v>
      </c>
      <c r="N1367" s="2">
        <v>165.76</v>
      </c>
    </row>
    <row r="1368" spans="1:14" x14ac:dyDescent="0.3">
      <c r="A1368" t="s">
        <v>692</v>
      </c>
      <c r="B1368" s="1">
        <v>45259</v>
      </c>
      <c r="C1368" t="s">
        <v>693</v>
      </c>
      <c r="D1368" t="s">
        <v>25</v>
      </c>
      <c r="E1368" t="s">
        <v>17</v>
      </c>
      <c r="F1368" t="s">
        <v>79</v>
      </c>
      <c r="G1368" t="s">
        <v>80</v>
      </c>
      <c r="H1368" t="s">
        <v>47</v>
      </c>
      <c r="I1368" t="s">
        <v>21</v>
      </c>
      <c r="J1368" t="s">
        <v>22</v>
      </c>
      <c r="K1368" s="2">
        <v>27018.92</v>
      </c>
      <c r="L1368" s="4">
        <v>2</v>
      </c>
      <c r="M1368" s="3">
        <v>0.12</v>
      </c>
      <c r="N1368" s="2">
        <v>1080.76</v>
      </c>
    </row>
    <row r="1369" spans="1:14" x14ac:dyDescent="0.3">
      <c r="A1369" t="s">
        <v>201</v>
      </c>
      <c r="B1369" s="1">
        <v>45259</v>
      </c>
      <c r="C1369" t="s">
        <v>202</v>
      </c>
      <c r="D1369" t="s">
        <v>50</v>
      </c>
      <c r="E1369" t="s">
        <v>51</v>
      </c>
      <c r="F1369" t="s">
        <v>34</v>
      </c>
      <c r="G1369" t="s">
        <v>35</v>
      </c>
      <c r="H1369" t="s">
        <v>36</v>
      </c>
      <c r="I1369" t="s">
        <v>43</v>
      </c>
      <c r="J1369" t="s">
        <v>64</v>
      </c>
      <c r="K1369" s="2">
        <v>14001.34</v>
      </c>
      <c r="L1369" s="4">
        <v>8</v>
      </c>
      <c r="M1369" s="3">
        <v>0.06</v>
      </c>
      <c r="N1369" s="2">
        <v>980.09</v>
      </c>
    </row>
    <row r="1370" spans="1:14" x14ac:dyDescent="0.3">
      <c r="A1370" t="s">
        <v>119</v>
      </c>
      <c r="B1370" s="1">
        <v>45259</v>
      </c>
      <c r="C1370" t="s">
        <v>120</v>
      </c>
      <c r="D1370" t="s">
        <v>25</v>
      </c>
      <c r="E1370" t="s">
        <v>17</v>
      </c>
      <c r="F1370" t="s">
        <v>46</v>
      </c>
      <c r="G1370" t="s">
        <v>46</v>
      </c>
      <c r="H1370" t="s">
        <v>47</v>
      </c>
      <c r="I1370" t="s">
        <v>21</v>
      </c>
      <c r="J1370" t="s">
        <v>54</v>
      </c>
      <c r="K1370" s="2">
        <v>29579.87</v>
      </c>
      <c r="L1370" s="4">
        <v>1</v>
      </c>
      <c r="M1370" s="3">
        <v>0.25</v>
      </c>
      <c r="N1370" s="2">
        <v>-739.5</v>
      </c>
    </row>
    <row r="1371" spans="1:14" x14ac:dyDescent="0.3">
      <c r="A1371" t="s">
        <v>1319</v>
      </c>
      <c r="B1371" s="1">
        <v>45259</v>
      </c>
      <c r="C1371" t="s">
        <v>1159</v>
      </c>
      <c r="D1371" t="s">
        <v>61</v>
      </c>
      <c r="E1371" t="s">
        <v>51</v>
      </c>
      <c r="F1371" t="s">
        <v>46</v>
      </c>
      <c r="G1371" t="s">
        <v>46</v>
      </c>
      <c r="H1371" t="s">
        <v>47</v>
      </c>
      <c r="I1371" t="s">
        <v>21</v>
      </c>
      <c r="J1371" t="s">
        <v>58</v>
      </c>
      <c r="K1371" s="2">
        <v>41686.97</v>
      </c>
      <c r="L1371" s="4">
        <v>2</v>
      </c>
      <c r="M1371" s="3">
        <v>0.27</v>
      </c>
      <c r="N1371" s="2">
        <v>-1459.04</v>
      </c>
    </row>
    <row r="1372" spans="1:14" x14ac:dyDescent="0.3">
      <c r="A1372" t="s">
        <v>508</v>
      </c>
      <c r="B1372" s="1">
        <v>45259</v>
      </c>
      <c r="C1372" t="s">
        <v>450</v>
      </c>
      <c r="D1372" t="s">
        <v>61</v>
      </c>
      <c r="E1372" t="s">
        <v>17</v>
      </c>
      <c r="F1372" t="s">
        <v>40</v>
      </c>
      <c r="G1372" t="s">
        <v>41</v>
      </c>
      <c r="H1372" t="s">
        <v>42</v>
      </c>
      <c r="I1372" t="s">
        <v>21</v>
      </c>
      <c r="J1372" t="s">
        <v>64</v>
      </c>
      <c r="K1372" s="2">
        <v>31791.38</v>
      </c>
      <c r="L1372" s="4">
        <v>3</v>
      </c>
      <c r="M1372" s="3">
        <v>0.3</v>
      </c>
      <c r="N1372" s="2">
        <v>-1589.57</v>
      </c>
    </row>
    <row r="1373" spans="1:14" x14ac:dyDescent="0.3">
      <c r="A1373" t="s">
        <v>324</v>
      </c>
      <c r="B1373" s="1">
        <v>45260</v>
      </c>
      <c r="C1373" t="s">
        <v>325</v>
      </c>
      <c r="D1373" t="s">
        <v>61</v>
      </c>
      <c r="E1373" t="s">
        <v>26</v>
      </c>
      <c r="F1373" t="s">
        <v>40</v>
      </c>
      <c r="G1373" t="s">
        <v>41</v>
      </c>
      <c r="H1373" t="s">
        <v>42</v>
      </c>
      <c r="I1373" t="s">
        <v>29</v>
      </c>
      <c r="J1373" t="s">
        <v>106</v>
      </c>
      <c r="K1373" s="2">
        <v>48397.01</v>
      </c>
      <c r="L1373" s="4">
        <v>5</v>
      </c>
      <c r="M1373" s="3">
        <v>0.03</v>
      </c>
      <c r="N1373" s="2">
        <v>4113.75</v>
      </c>
    </row>
    <row r="1374" spans="1:14" x14ac:dyDescent="0.3">
      <c r="A1374" t="s">
        <v>1239</v>
      </c>
      <c r="B1374" s="1">
        <v>45260</v>
      </c>
      <c r="C1374" t="s">
        <v>1240</v>
      </c>
      <c r="D1374" t="s">
        <v>25</v>
      </c>
      <c r="E1374" t="s">
        <v>17</v>
      </c>
      <c r="F1374" t="s">
        <v>40</v>
      </c>
      <c r="G1374" t="s">
        <v>41</v>
      </c>
      <c r="H1374" t="s">
        <v>42</v>
      </c>
      <c r="I1374" t="s">
        <v>21</v>
      </c>
      <c r="J1374" t="s">
        <v>58</v>
      </c>
      <c r="K1374" s="2">
        <v>38884.93</v>
      </c>
      <c r="L1374" s="4">
        <v>7</v>
      </c>
      <c r="M1374" s="3">
        <v>0.11</v>
      </c>
      <c r="N1374" s="2">
        <v>1749.82</v>
      </c>
    </row>
    <row r="1375" spans="1:14" x14ac:dyDescent="0.3">
      <c r="A1375" t="s">
        <v>1764</v>
      </c>
      <c r="B1375" s="1">
        <v>45260</v>
      </c>
      <c r="C1375" t="s">
        <v>1765</v>
      </c>
      <c r="D1375" t="s">
        <v>85</v>
      </c>
      <c r="E1375" t="s">
        <v>26</v>
      </c>
      <c r="F1375" t="s">
        <v>79</v>
      </c>
      <c r="G1375" t="s">
        <v>80</v>
      </c>
      <c r="H1375" t="s">
        <v>47</v>
      </c>
      <c r="I1375" t="s">
        <v>43</v>
      </c>
      <c r="J1375" t="s">
        <v>22</v>
      </c>
      <c r="K1375" s="2">
        <v>4374.62</v>
      </c>
      <c r="L1375" s="4">
        <v>6</v>
      </c>
      <c r="M1375" s="3">
        <v>0.16</v>
      </c>
      <c r="N1375" s="2">
        <v>87.49</v>
      </c>
    </row>
    <row r="1376" spans="1:14" x14ac:dyDescent="0.3">
      <c r="A1376" t="s">
        <v>796</v>
      </c>
      <c r="B1376" s="1">
        <v>45260</v>
      </c>
      <c r="C1376" t="s">
        <v>797</v>
      </c>
      <c r="D1376" t="s">
        <v>50</v>
      </c>
      <c r="E1376" t="s">
        <v>51</v>
      </c>
      <c r="F1376" t="s">
        <v>34</v>
      </c>
      <c r="G1376" t="s">
        <v>35</v>
      </c>
      <c r="H1376" t="s">
        <v>36</v>
      </c>
      <c r="I1376" t="s">
        <v>43</v>
      </c>
      <c r="J1376" t="s">
        <v>58</v>
      </c>
      <c r="K1376" s="2">
        <v>16987.439999999999</v>
      </c>
      <c r="L1376" s="4">
        <v>3</v>
      </c>
      <c r="M1376" s="3">
        <v>0.26</v>
      </c>
      <c r="N1376" s="2">
        <v>-509.62</v>
      </c>
    </row>
    <row r="1377" spans="1:14" x14ac:dyDescent="0.3">
      <c r="A1377" t="s">
        <v>1150</v>
      </c>
      <c r="B1377" s="1">
        <v>45260</v>
      </c>
      <c r="C1377" t="s">
        <v>460</v>
      </c>
      <c r="D1377" t="s">
        <v>25</v>
      </c>
      <c r="E1377" t="s">
        <v>26</v>
      </c>
      <c r="F1377" t="s">
        <v>40</v>
      </c>
      <c r="G1377" t="s">
        <v>41</v>
      </c>
      <c r="H1377" t="s">
        <v>42</v>
      </c>
      <c r="I1377" t="s">
        <v>29</v>
      </c>
      <c r="J1377" t="s">
        <v>37</v>
      </c>
      <c r="K1377" s="2">
        <v>18542.07</v>
      </c>
      <c r="L1377" s="4">
        <v>7</v>
      </c>
      <c r="M1377" s="3">
        <v>0.17</v>
      </c>
      <c r="N1377" s="2">
        <v>278.13</v>
      </c>
    </row>
    <row r="1378" spans="1:14" x14ac:dyDescent="0.3">
      <c r="A1378" t="s">
        <v>1628</v>
      </c>
      <c r="B1378" s="1">
        <v>45261</v>
      </c>
      <c r="C1378" t="s">
        <v>1629</v>
      </c>
      <c r="D1378" t="s">
        <v>50</v>
      </c>
      <c r="E1378" t="s">
        <v>26</v>
      </c>
      <c r="F1378" t="s">
        <v>34</v>
      </c>
      <c r="G1378" t="s">
        <v>35</v>
      </c>
      <c r="H1378" t="s">
        <v>36</v>
      </c>
      <c r="I1378" t="s">
        <v>21</v>
      </c>
      <c r="J1378" t="s">
        <v>58</v>
      </c>
      <c r="K1378" s="2">
        <v>8740.5300000000007</v>
      </c>
      <c r="L1378" s="4">
        <v>6</v>
      </c>
      <c r="M1378" s="3">
        <v>0.02</v>
      </c>
      <c r="N1378" s="2">
        <v>786.65</v>
      </c>
    </row>
    <row r="1379" spans="1:14" x14ac:dyDescent="0.3">
      <c r="A1379" t="s">
        <v>1678</v>
      </c>
      <c r="B1379" s="1">
        <v>45261</v>
      </c>
      <c r="C1379" t="s">
        <v>1679</v>
      </c>
      <c r="D1379" t="s">
        <v>50</v>
      </c>
      <c r="E1379" t="s">
        <v>51</v>
      </c>
      <c r="F1379" t="s">
        <v>34</v>
      </c>
      <c r="G1379" t="s">
        <v>35</v>
      </c>
      <c r="H1379" t="s">
        <v>36</v>
      </c>
      <c r="I1379" t="s">
        <v>43</v>
      </c>
      <c r="J1379" t="s">
        <v>106</v>
      </c>
      <c r="K1379" s="2">
        <v>7122.34</v>
      </c>
      <c r="L1379" s="4">
        <v>6</v>
      </c>
      <c r="M1379" s="3">
        <v>0.04</v>
      </c>
      <c r="N1379" s="2">
        <v>569.79</v>
      </c>
    </row>
    <row r="1380" spans="1:14" x14ac:dyDescent="0.3">
      <c r="A1380" t="s">
        <v>2120</v>
      </c>
      <c r="B1380" s="1">
        <v>45261</v>
      </c>
      <c r="C1380" t="s">
        <v>413</v>
      </c>
      <c r="D1380" t="s">
        <v>57</v>
      </c>
      <c r="E1380" t="s">
        <v>51</v>
      </c>
      <c r="F1380" t="s">
        <v>27</v>
      </c>
      <c r="G1380" t="s">
        <v>28</v>
      </c>
      <c r="H1380" t="s">
        <v>20</v>
      </c>
      <c r="I1380" t="s">
        <v>21</v>
      </c>
      <c r="J1380" t="s">
        <v>58</v>
      </c>
      <c r="K1380" s="2">
        <v>21633.67</v>
      </c>
      <c r="L1380" s="4">
        <v>5</v>
      </c>
      <c r="M1380" s="3">
        <v>0.2</v>
      </c>
      <c r="N1380" s="2">
        <v>0</v>
      </c>
    </row>
    <row r="1381" spans="1:14" x14ac:dyDescent="0.3">
      <c r="A1381" t="s">
        <v>2252</v>
      </c>
      <c r="B1381" s="1">
        <v>45261</v>
      </c>
      <c r="C1381" t="s">
        <v>278</v>
      </c>
      <c r="D1381" t="s">
        <v>25</v>
      </c>
      <c r="E1381" t="s">
        <v>26</v>
      </c>
      <c r="F1381" t="s">
        <v>79</v>
      </c>
      <c r="G1381" t="s">
        <v>80</v>
      </c>
      <c r="H1381" t="s">
        <v>47</v>
      </c>
      <c r="I1381" t="s">
        <v>29</v>
      </c>
      <c r="J1381" t="s">
        <v>106</v>
      </c>
      <c r="K1381" s="2">
        <v>714.34</v>
      </c>
      <c r="L1381" s="4">
        <v>1</v>
      </c>
      <c r="M1381" s="3">
        <v>0.22</v>
      </c>
      <c r="N1381" s="2">
        <v>-7.14</v>
      </c>
    </row>
    <row r="1382" spans="1:14" x14ac:dyDescent="0.3">
      <c r="A1382" t="s">
        <v>1699</v>
      </c>
      <c r="B1382" s="1">
        <v>45261</v>
      </c>
      <c r="C1382" t="s">
        <v>641</v>
      </c>
      <c r="D1382" t="s">
        <v>85</v>
      </c>
      <c r="E1382" t="s">
        <v>26</v>
      </c>
      <c r="F1382" t="s">
        <v>79</v>
      </c>
      <c r="G1382" t="s">
        <v>80</v>
      </c>
      <c r="H1382" t="s">
        <v>47</v>
      </c>
      <c r="I1382" t="s">
        <v>29</v>
      </c>
      <c r="J1382" t="s">
        <v>106</v>
      </c>
      <c r="K1382" s="2">
        <v>2513.6799999999998</v>
      </c>
      <c r="L1382" s="4">
        <v>7</v>
      </c>
      <c r="M1382" s="3">
        <v>0.09</v>
      </c>
      <c r="N1382" s="2">
        <v>138.25</v>
      </c>
    </row>
    <row r="1383" spans="1:14" x14ac:dyDescent="0.3">
      <c r="A1383" t="s">
        <v>146</v>
      </c>
      <c r="B1383" s="1">
        <v>45261</v>
      </c>
      <c r="C1383" t="s">
        <v>24</v>
      </c>
      <c r="D1383" t="s">
        <v>50</v>
      </c>
      <c r="E1383" t="s">
        <v>26</v>
      </c>
      <c r="F1383" t="s">
        <v>79</v>
      </c>
      <c r="G1383" t="s">
        <v>80</v>
      </c>
      <c r="H1383" t="s">
        <v>47</v>
      </c>
      <c r="I1383" t="s">
        <v>29</v>
      </c>
      <c r="J1383" t="s">
        <v>37</v>
      </c>
      <c r="K1383" s="2">
        <v>39469.17</v>
      </c>
      <c r="L1383" s="4">
        <v>3</v>
      </c>
      <c r="M1383" s="3">
        <v>0.22</v>
      </c>
      <c r="N1383" s="2">
        <v>-394.69</v>
      </c>
    </row>
    <row r="1384" spans="1:14" x14ac:dyDescent="0.3">
      <c r="A1384" t="s">
        <v>1864</v>
      </c>
      <c r="B1384" s="1">
        <v>45262</v>
      </c>
      <c r="C1384" t="s">
        <v>286</v>
      </c>
      <c r="D1384" t="s">
        <v>57</v>
      </c>
      <c r="E1384" t="s">
        <v>17</v>
      </c>
      <c r="F1384" t="s">
        <v>34</v>
      </c>
      <c r="G1384" t="s">
        <v>35</v>
      </c>
      <c r="H1384" t="s">
        <v>36</v>
      </c>
      <c r="I1384" t="s">
        <v>29</v>
      </c>
      <c r="J1384" t="s">
        <v>37</v>
      </c>
      <c r="K1384" s="2">
        <v>16120.46</v>
      </c>
      <c r="L1384" s="4">
        <v>10</v>
      </c>
      <c r="M1384" s="3">
        <v>0.21</v>
      </c>
      <c r="N1384" s="2">
        <v>-80.599999999999994</v>
      </c>
    </row>
    <row r="1385" spans="1:14" x14ac:dyDescent="0.3">
      <c r="A1385" t="s">
        <v>1626</v>
      </c>
      <c r="B1385" s="1">
        <v>45262</v>
      </c>
      <c r="C1385" t="s">
        <v>1627</v>
      </c>
      <c r="D1385" t="s">
        <v>50</v>
      </c>
      <c r="E1385" t="s">
        <v>51</v>
      </c>
      <c r="F1385" t="s">
        <v>40</v>
      </c>
      <c r="G1385" t="s">
        <v>41</v>
      </c>
      <c r="H1385" t="s">
        <v>42</v>
      </c>
      <c r="I1385" t="s">
        <v>43</v>
      </c>
      <c r="J1385" t="s">
        <v>37</v>
      </c>
      <c r="K1385" s="2">
        <v>32941.050000000003</v>
      </c>
      <c r="L1385" s="4">
        <v>5</v>
      </c>
      <c r="M1385" s="3">
        <v>0.1</v>
      </c>
      <c r="N1385" s="2">
        <v>1647.05</v>
      </c>
    </row>
    <row r="1386" spans="1:14" x14ac:dyDescent="0.3">
      <c r="A1386" t="s">
        <v>1612</v>
      </c>
      <c r="B1386" s="1">
        <v>45263</v>
      </c>
      <c r="C1386" t="s">
        <v>1541</v>
      </c>
      <c r="D1386" t="s">
        <v>61</v>
      </c>
      <c r="E1386" t="s">
        <v>51</v>
      </c>
      <c r="F1386" t="s">
        <v>40</v>
      </c>
      <c r="G1386" t="s">
        <v>41</v>
      </c>
      <c r="H1386" t="s">
        <v>42</v>
      </c>
      <c r="I1386" t="s">
        <v>29</v>
      </c>
      <c r="J1386" t="s">
        <v>58</v>
      </c>
      <c r="K1386" s="2">
        <v>8776.74</v>
      </c>
      <c r="L1386" s="4">
        <v>9</v>
      </c>
      <c r="M1386" s="3">
        <v>0.24</v>
      </c>
      <c r="N1386" s="2">
        <v>-175.53</v>
      </c>
    </row>
    <row r="1387" spans="1:14" x14ac:dyDescent="0.3">
      <c r="A1387" t="s">
        <v>1620</v>
      </c>
      <c r="B1387" s="1">
        <v>45263</v>
      </c>
      <c r="C1387" t="s">
        <v>682</v>
      </c>
      <c r="D1387" t="s">
        <v>50</v>
      </c>
      <c r="E1387" t="s">
        <v>51</v>
      </c>
      <c r="F1387" t="s">
        <v>27</v>
      </c>
      <c r="G1387" t="s">
        <v>28</v>
      </c>
      <c r="H1387" t="s">
        <v>20</v>
      </c>
      <c r="I1387" t="s">
        <v>29</v>
      </c>
      <c r="J1387" t="s">
        <v>106</v>
      </c>
      <c r="K1387" s="2">
        <v>49391.82</v>
      </c>
      <c r="L1387" s="4">
        <v>8</v>
      </c>
      <c r="M1387" s="3">
        <v>0.02</v>
      </c>
      <c r="N1387" s="2">
        <v>4445.26</v>
      </c>
    </row>
    <row r="1388" spans="1:14" x14ac:dyDescent="0.3">
      <c r="A1388" t="s">
        <v>1898</v>
      </c>
      <c r="B1388" s="1">
        <v>45263</v>
      </c>
      <c r="C1388" t="s">
        <v>971</v>
      </c>
      <c r="D1388" t="s">
        <v>85</v>
      </c>
      <c r="E1388" t="s">
        <v>17</v>
      </c>
      <c r="F1388" t="s">
        <v>79</v>
      </c>
      <c r="G1388" t="s">
        <v>80</v>
      </c>
      <c r="H1388" t="s">
        <v>47</v>
      </c>
      <c r="I1388" t="s">
        <v>21</v>
      </c>
      <c r="J1388" t="s">
        <v>54</v>
      </c>
      <c r="K1388" s="2">
        <v>48277.93</v>
      </c>
      <c r="L1388" s="4">
        <v>7</v>
      </c>
      <c r="M1388" s="3">
        <v>0.22</v>
      </c>
      <c r="N1388" s="2">
        <v>-482.78</v>
      </c>
    </row>
    <row r="1389" spans="1:14" x14ac:dyDescent="0.3">
      <c r="A1389" t="s">
        <v>524</v>
      </c>
      <c r="B1389" s="1">
        <v>45264</v>
      </c>
      <c r="C1389" t="s">
        <v>525</v>
      </c>
      <c r="D1389" t="s">
        <v>25</v>
      </c>
      <c r="E1389" t="s">
        <v>51</v>
      </c>
      <c r="F1389" t="s">
        <v>34</v>
      </c>
      <c r="G1389" t="s">
        <v>35</v>
      </c>
      <c r="H1389" t="s">
        <v>36</v>
      </c>
      <c r="I1389" t="s">
        <v>21</v>
      </c>
      <c r="J1389" t="s">
        <v>58</v>
      </c>
      <c r="K1389" s="2">
        <v>21891.49</v>
      </c>
      <c r="L1389" s="4">
        <v>9</v>
      </c>
      <c r="M1389" s="3">
        <v>0.08</v>
      </c>
      <c r="N1389" s="2">
        <v>1313.49</v>
      </c>
    </row>
    <row r="1390" spans="1:14" x14ac:dyDescent="0.3">
      <c r="A1390" t="s">
        <v>1410</v>
      </c>
      <c r="B1390" s="1">
        <v>45264</v>
      </c>
      <c r="C1390" t="s">
        <v>1411</v>
      </c>
      <c r="D1390" t="s">
        <v>25</v>
      </c>
      <c r="E1390" t="s">
        <v>17</v>
      </c>
      <c r="F1390" t="s">
        <v>40</v>
      </c>
      <c r="G1390" t="s">
        <v>41</v>
      </c>
      <c r="H1390" t="s">
        <v>42</v>
      </c>
      <c r="I1390" t="s">
        <v>21</v>
      </c>
      <c r="J1390" t="s">
        <v>22</v>
      </c>
      <c r="K1390" s="2">
        <v>37587.94</v>
      </c>
      <c r="L1390" s="4">
        <v>2</v>
      </c>
      <c r="M1390" s="3">
        <v>0.22</v>
      </c>
      <c r="N1390" s="2">
        <v>-375.88</v>
      </c>
    </row>
    <row r="1391" spans="1:14" x14ac:dyDescent="0.3">
      <c r="A1391" t="s">
        <v>14</v>
      </c>
      <c r="B1391" s="1">
        <v>45264</v>
      </c>
      <c r="C1391" t="s">
        <v>15</v>
      </c>
      <c r="D1391" t="s">
        <v>16</v>
      </c>
      <c r="E1391" t="s">
        <v>17</v>
      </c>
      <c r="F1391" t="s">
        <v>18</v>
      </c>
      <c r="G1391" t="s">
        <v>19</v>
      </c>
      <c r="H1391" t="s">
        <v>20</v>
      </c>
      <c r="I1391" t="s">
        <v>21</v>
      </c>
      <c r="J1391" t="s">
        <v>22</v>
      </c>
      <c r="K1391" s="2">
        <v>11167.08</v>
      </c>
      <c r="L1391" s="4">
        <v>6</v>
      </c>
      <c r="M1391" s="3">
        <v>0.12</v>
      </c>
      <c r="N1391" s="2">
        <v>446.68</v>
      </c>
    </row>
    <row r="1392" spans="1:14" x14ac:dyDescent="0.3">
      <c r="A1392" t="s">
        <v>1984</v>
      </c>
      <c r="B1392" s="1">
        <v>45264</v>
      </c>
      <c r="C1392" t="s">
        <v>756</v>
      </c>
      <c r="D1392" t="s">
        <v>85</v>
      </c>
      <c r="E1392" t="s">
        <v>51</v>
      </c>
      <c r="F1392" t="s">
        <v>40</v>
      </c>
      <c r="G1392" t="s">
        <v>41</v>
      </c>
      <c r="H1392" t="s">
        <v>42</v>
      </c>
      <c r="I1392" t="s">
        <v>21</v>
      </c>
      <c r="J1392" t="s">
        <v>22</v>
      </c>
      <c r="K1392" s="2">
        <v>37275.86</v>
      </c>
      <c r="L1392" s="4">
        <v>3</v>
      </c>
      <c r="M1392" s="3">
        <v>0.16</v>
      </c>
      <c r="N1392" s="2">
        <v>745.52</v>
      </c>
    </row>
    <row r="1393" spans="1:14" x14ac:dyDescent="0.3">
      <c r="A1393" t="s">
        <v>990</v>
      </c>
      <c r="B1393" s="1">
        <v>45264</v>
      </c>
      <c r="C1393" t="s">
        <v>838</v>
      </c>
      <c r="D1393" t="s">
        <v>33</v>
      </c>
      <c r="E1393" t="s">
        <v>51</v>
      </c>
      <c r="F1393" t="s">
        <v>79</v>
      </c>
      <c r="G1393" t="s">
        <v>80</v>
      </c>
      <c r="H1393" t="s">
        <v>47</v>
      </c>
      <c r="I1393" t="s">
        <v>29</v>
      </c>
      <c r="J1393" t="s">
        <v>106</v>
      </c>
      <c r="K1393" s="2">
        <v>46343.64</v>
      </c>
      <c r="L1393" s="4">
        <v>4</v>
      </c>
      <c r="M1393" s="3">
        <v>0.18</v>
      </c>
      <c r="N1393" s="2">
        <v>463.44</v>
      </c>
    </row>
    <row r="1394" spans="1:14" x14ac:dyDescent="0.3">
      <c r="A1394" t="s">
        <v>377</v>
      </c>
      <c r="B1394" s="1">
        <v>45264</v>
      </c>
      <c r="C1394" t="s">
        <v>378</v>
      </c>
      <c r="D1394" t="s">
        <v>16</v>
      </c>
      <c r="E1394" t="s">
        <v>26</v>
      </c>
      <c r="F1394" t="s">
        <v>34</v>
      </c>
      <c r="G1394" t="s">
        <v>35</v>
      </c>
      <c r="H1394" t="s">
        <v>36</v>
      </c>
      <c r="I1394" t="s">
        <v>43</v>
      </c>
      <c r="J1394" t="s">
        <v>58</v>
      </c>
      <c r="K1394" s="2">
        <v>33150.120000000003</v>
      </c>
      <c r="L1394" s="4">
        <v>3</v>
      </c>
      <c r="M1394" s="3">
        <v>0.03</v>
      </c>
      <c r="N1394" s="2">
        <v>2817.76</v>
      </c>
    </row>
    <row r="1395" spans="1:14" x14ac:dyDescent="0.3">
      <c r="A1395" t="s">
        <v>2124</v>
      </c>
      <c r="B1395" s="1">
        <v>45265</v>
      </c>
      <c r="C1395" t="s">
        <v>1021</v>
      </c>
      <c r="D1395" t="s">
        <v>85</v>
      </c>
      <c r="E1395" t="s">
        <v>17</v>
      </c>
      <c r="F1395" t="s">
        <v>46</v>
      </c>
      <c r="G1395" t="s">
        <v>46</v>
      </c>
      <c r="H1395" t="s">
        <v>47</v>
      </c>
      <c r="I1395" t="s">
        <v>43</v>
      </c>
      <c r="J1395" t="s">
        <v>37</v>
      </c>
      <c r="K1395" s="2">
        <v>46846.18</v>
      </c>
      <c r="L1395" s="4">
        <v>7</v>
      </c>
      <c r="M1395" s="3">
        <v>0.16</v>
      </c>
      <c r="N1395" s="2">
        <v>936.92</v>
      </c>
    </row>
    <row r="1396" spans="1:14" x14ac:dyDescent="0.3">
      <c r="A1396" t="s">
        <v>1003</v>
      </c>
      <c r="B1396" s="1">
        <v>45265</v>
      </c>
      <c r="C1396" t="s">
        <v>1004</v>
      </c>
      <c r="D1396" t="s">
        <v>85</v>
      </c>
      <c r="E1396" t="s">
        <v>26</v>
      </c>
      <c r="F1396" t="s">
        <v>34</v>
      </c>
      <c r="G1396" t="s">
        <v>35</v>
      </c>
      <c r="H1396" t="s">
        <v>36</v>
      </c>
      <c r="I1396" t="s">
        <v>21</v>
      </c>
      <c r="J1396" t="s">
        <v>30</v>
      </c>
      <c r="K1396" s="2">
        <v>26034.15</v>
      </c>
      <c r="L1396" s="4">
        <v>9</v>
      </c>
      <c r="M1396" s="3">
        <v>0.09</v>
      </c>
      <c r="N1396" s="2">
        <v>1431.88</v>
      </c>
    </row>
    <row r="1397" spans="1:14" x14ac:dyDescent="0.3">
      <c r="A1397" t="s">
        <v>668</v>
      </c>
      <c r="B1397" s="1">
        <v>45266</v>
      </c>
      <c r="C1397" t="s">
        <v>311</v>
      </c>
      <c r="D1397" t="s">
        <v>25</v>
      </c>
      <c r="E1397" t="s">
        <v>17</v>
      </c>
      <c r="F1397" t="s">
        <v>79</v>
      </c>
      <c r="G1397" t="s">
        <v>80</v>
      </c>
      <c r="H1397" t="s">
        <v>47</v>
      </c>
      <c r="I1397" t="s">
        <v>43</v>
      </c>
      <c r="J1397" t="s">
        <v>64</v>
      </c>
      <c r="K1397" s="2">
        <v>2313.38</v>
      </c>
      <c r="L1397" s="4">
        <v>10</v>
      </c>
      <c r="M1397" s="3">
        <v>0.19</v>
      </c>
      <c r="N1397" s="2">
        <v>11.57</v>
      </c>
    </row>
    <row r="1398" spans="1:14" x14ac:dyDescent="0.3">
      <c r="A1398" t="s">
        <v>1865</v>
      </c>
      <c r="B1398" s="1">
        <v>45266</v>
      </c>
      <c r="C1398" t="s">
        <v>641</v>
      </c>
      <c r="D1398" t="s">
        <v>57</v>
      </c>
      <c r="E1398" t="s">
        <v>17</v>
      </c>
      <c r="F1398" t="s">
        <v>79</v>
      </c>
      <c r="G1398" t="s">
        <v>80</v>
      </c>
      <c r="H1398" t="s">
        <v>47</v>
      </c>
      <c r="I1398" t="s">
        <v>21</v>
      </c>
      <c r="J1398" t="s">
        <v>30</v>
      </c>
      <c r="K1398" s="2">
        <v>30734.639999999999</v>
      </c>
      <c r="L1398" s="4">
        <v>4</v>
      </c>
      <c r="M1398" s="3">
        <v>0.04</v>
      </c>
      <c r="N1398" s="2">
        <v>2458.77</v>
      </c>
    </row>
    <row r="1399" spans="1:14" x14ac:dyDescent="0.3">
      <c r="A1399" t="s">
        <v>2109</v>
      </c>
      <c r="B1399" s="1">
        <v>45266</v>
      </c>
      <c r="C1399" t="s">
        <v>521</v>
      </c>
      <c r="D1399" t="s">
        <v>61</v>
      </c>
      <c r="E1399" t="s">
        <v>26</v>
      </c>
      <c r="F1399" t="s">
        <v>79</v>
      </c>
      <c r="G1399" t="s">
        <v>80</v>
      </c>
      <c r="H1399" t="s">
        <v>47</v>
      </c>
      <c r="I1399" t="s">
        <v>43</v>
      </c>
      <c r="J1399" t="s">
        <v>37</v>
      </c>
      <c r="K1399" s="2">
        <v>39572.94</v>
      </c>
      <c r="L1399" s="4">
        <v>3</v>
      </c>
      <c r="M1399" s="3">
        <v>0.02</v>
      </c>
      <c r="N1399" s="2">
        <v>3561.56</v>
      </c>
    </row>
    <row r="1400" spans="1:14" x14ac:dyDescent="0.3">
      <c r="A1400" t="s">
        <v>1268</v>
      </c>
      <c r="B1400" s="1">
        <v>45267</v>
      </c>
      <c r="C1400" t="s">
        <v>1269</v>
      </c>
      <c r="D1400" t="s">
        <v>85</v>
      </c>
      <c r="E1400" t="s">
        <v>26</v>
      </c>
      <c r="F1400" t="s">
        <v>46</v>
      </c>
      <c r="G1400" t="s">
        <v>46</v>
      </c>
      <c r="H1400" t="s">
        <v>47</v>
      </c>
      <c r="I1400" t="s">
        <v>29</v>
      </c>
      <c r="J1400" t="s">
        <v>64</v>
      </c>
      <c r="K1400" s="2">
        <v>1271.44</v>
      </c>
      <c r="L1400" s="4">
        <v>4</v>
      </c>
      <c r="M1400" s="3">
        <v>0.13</v>
      </c>
      <c r="N1400" s="2">
        <v>44.5</v>
      </c>
    </row>
    <row r="1401" spans="1:14" x14ac:dyDescent="0.3">
      <c r="A1401" t="s">
        <v>1525</v>
      </c>
      <c r="B1401" s="1">
        <v>45267</v>
      </c>
      <c r="C1401" t="s">
        <v>1526</v>
      </c>
      <c r="D1401" t="s">
        <v>33</v>
      </c>
      <c r="E1401" t="s">
        <v>17</v>
      </c>
      <c r="F1401" t="s">
        <v>27</v>
      </c>
      <c r="G1401" t="s">
        <v>28</v>
      </c>
      <c r="H1401" t="s">
        <v>20</v>
      </c>
      <c r="I1401" t="s">
        <v>43</v>
      </c>
      <c r="J1401" t="s">
        <v>106</v>
      </c>
      <c r="K1401" s="2">
        <v>24771.8</v>
      </c>
      <c r="L1401" s="4">
        <v>7</v>
      </c>
      <c r="M1401" s="3">
        <v>0.01</v>
      </c>
      <c r="N1401" s="2">
        <v>2353.3200000000002</v>
      </c>
    </row>
    <row r="1402" spans="1:14" x14ac:dyDescent="0.3">
      <c r="A1402" t="s">
        <v>113</v>
      </c>
      <c r="B1402" s="1">
        <v>45267</v>
      </c>
      <c r="C1402" t="s">
        <v>114</v>
      </c>
      <c r="D1402" t="s">
        <v>33</v>
      </c>
      <c r="E1402" t="s">
        <v>17</v>
      </c>
      <c r="F1402" t="s">
        <v>40</v>
      </c>
      <c r="G1402" t="s">
        <v>41</v>
      </c>
      <c r="H1402" t="s">
        <v>42</v>
      </c>
      <c r="I1402" t="s">
        <v>29</v>
      </c>
      <c r="J1402" t="s">
        <v>106</v>
      </c>
      <c r="K1402" s="2">
        <v>41007.07</v>
      </c>
      <c r="L1402" s="4">
        <v>9</v>
      </c>
      <c r="M1402" s="3">
        <v>0.19</v>
      </c>
      <c r="N1402" s="2">
        <v>205.04</v>
      </c>
    </row>
    <row r="1403" spans="1:14" x14ac:dyDescent="0.3">
      <c r="A1403" t="s">
        <v>1207</v>
      </c>
      <c r="B1403" s="1">
        <v>45267</v>
      </c>
      <c r="C1403" t="s">
        <v>1075</v>
      </c>
      <c r="D1403" t="s">
        <v>33</v>
      </c>
      <c r="E1403" t="s">
        <v>17</v>
      </c>
      <c r="F1403" t="s">
        <v>27</v>
      </c>
      <c r="G1403" t="s">
        <v>28</v>
      </c>
      <c r="H1403" t="s">
        <v>20</v>
      </c>
      <c r="I1403" t="s">
        <v>21</v>
      </c>
      <c r="J1403" t="s">
        <v>22</v>
      </c>
      <c r="K1403" s="2">
        <v>33694.800000000003</v>
      </c>
      <c r="L1403" s="4">
        <v>9</v>
      </c>
      <c r="M1403" s="3">
        <v>0.24</v>
      </c>
      <c r="N1403" s="2">
        <v>-673.9</v>
      </c>
    </row>
    <row r="1404" spans="1:14" x14ac:dyDescent="0.3">
      <c r="A1404" t="s">
        <v>424</v>
      </c>
      <c r="B1404" s="1">
        <v>45268</v>
      </c>
      <c r="C1404" t="s">
        <v>425</v>
      </c>
      <c r="D1404" t="s">
        <v>57</v>
      </c>
      <c r="E1404" t="s">
        <v>17</v>
      </c>
      <c r="F1404" t="s">
        <v>40</v>
      </c>
      <c r="G1404" t="s">
        <v>41</v>
      </c>
      <c r="H1404" t="s">
        <v>42</v>
      </c>
      <c r="I1404" t="s">
        <v>43</v>
      </c>
      <c r="J1404" t="s">
        <v>54</v>
      </c>
      <c r="K1404" s="2">
        <v>4294.07</v>
      </c>
      <c r="L1404" s="4">
        <v>5</v>
      </c>
      <c r="M1404" s="3">
        <v>0.01</v>
      </c>
      <c r="N1404" s="2">
        <v>407.94</v>
      </c>
    </row>
    <row r="1405" spans="1:14" x14ac:dyDescent="0.3">
      <c r="A1405" t="s">
        <v>1497</v>
      </c>
      <c r="B1405" s="1">
        <v>45268</v>
      </c>
      <c r="C1405" t="s">
        <v>562</v>
      </c>
      <c r="D1405" t="s">
        <v>25</v>
      </c>
      <c r="E1405" t="s">
        <v>51</v>
      </c>
      <c r="F1405" t="s">
        <v>27</v>
      </c>
      <c r="G1405" t="s">
        <v>28</v>
      </c>
      <c r="H1405" t="s">
        <v>20</v>
      </c>
      <c r="I1405" t="s">
        <v>29</v>
      </c>
      <c r="J1405" t="s">
        <v>22</v>
      </c>
      <c r="K1405" s="2">
        <v>31754.94</v>
      </c>
      <c r="L1405" s="4">
        <v>3</v>
      </c>
      <c r="M1405" s="3">
        <v>0.16</v>
      </c>
      <c r="N1405" s="2">
        <v>635.1</v>
      </c>
    </row>
    <row r="1406" spans="1:14" x14ac:dyDescent="0.3">
      <c r="A1406" t="s">
        <v>1597</v>
      </c>
      <c r="B1406" s="1">
        <v>45268</v>
      </c>
      <c r="C1406" t="s">
        <v>1598</v>
      </c>
      <c r="D1406" t="s">
        <v>16</v>
      </c>
      <c r="E1406" t="s">
        <v>17</v>
      </c>
      <c r="F1406" t="s">
        <v>79</v>
      </c>
      <c r="G1406" t="s">
        <v>80</v>
      </c>
      <c r="H1406" t="s">
        <v>47</v>
      </c>
      <c r="I1406" t="s">
        <v>21</v>
      </c>
      <c r="J1406" t="s">
        <v>58</v>
      </c>
      <c r="K1406" s="2">
        <v>31230.26</v>
      </c>
      <c r="L1406" s="4">
        <v>6</v>
      </c>
      <c r="M1406" s="3">
        <v>0.05</v>
      </c>
      <c r="N1406" s="2">
        <v>2342.27</v>
      </c>
    </row>
    <row r="1407" spans="1:14" x14ac:dyDescent="0.3">
      <c r="A1407" t="s">
        <v>1750</v>
      </c>
      <c r="B1407" s="1">
        <v>45268</v>
      </c>
      <c r="C1407" t="s">
        <v>1751</v>
      </c>
      <c r="D1407" t="s">
        <v>61</v>
      </c>
      <c r="E1407" t="s">
        <v>26</v>
      </c>
      <c r="F1407" t="s">
        <v>27</v>
      </c>
      <c r="G1407" t="s">
        <v>28</v>
      </c>
      <c r="H1407" t="s">
        <v>20</v>
      </c>
      <c r="I1407" t="s">
        <v>43</v>
      </c>
      <c r="J1407" t="s">
        <v>22</v>
      </c>
      <c r="K1407" s="2">
        <v>18435.990000000002</v>
      </c>
      <c r="L1407" s="4">
        <v>1</v>
      </c>
      <c r="M1407" s="3">
        <v>0.23</v>
      </c>
      <c r="N1407" s="2">
        <v>-276.54000000000002</v>
      </c>
    </row>
    <row r="1408" spans="1:14" x14ac:dyDescent="0.3">
      <c r="A1408" t="s">
        <v>2022</v>
      </c>
      <c r="B1408" s="1">
        <v>45268</v>
      </c>
      <c r="C1408" t="s">
        <v>444</v>
      </c>
      <c r="D1408" t="s">
        <v>25</v>
      </c>
      <c r="E1408" t="s">
        <v>51</v>
      </c>
      <c r="F1408" t="s">
        <v>27</v>
      </c>
      <c r="G1408" t="s">
        <v>28</v>
      </c>
      <c r="H1408" t="s">
        <v>20</v>
      </c>
      <c r="I1408" t="s">
        <v>43</v>
      </c>
      <c r="J1408" t="s">
        <v>30</v>
      </c>
      <c r="K1408" s="2">
        <v>3251.59</v>
      </c>
      <c r="L1408" s="4">
        <v>2</v>
      </c>
      <c r="M1408" s="3">
        <v>0.15</v>
      </c>
      <c r="N1408" s="2">
        <v>81.290000000000006</v>
      </c>
    </row>
    <row r="1409" spans="1:14" x14ac:dyDescent="0.3">
      <c r="A1409" t="s">
        <v>1794</v>
      </c>
      <c r="B1409" s="1">
        <v>45268</v>
      </c>
      <c r="C1409" t="s">
        <v>1795</v>
      </c>
      <c r="D1409" t="s">
        <v>61</v>
      </c>
      <c r="E1409" t="s">
        <v>17</v>
      </c>
      <c r="F1409" t="s">
        <v>18</v>
      </c>
      <c r="G1409" t="s">
        <v>19</v>
      </c>
      <c r="H1409" t="s">
        <v>20</v>
      </c>
      <c r="I1409" t="s">
        <v>21</v>
      </c>
      <c r="J1409" t="s">
        <v>22</v>
      </c>
      <c r="K1409" s="2">
        <v>18413.05</v>
      </c>
      <c r="L1409" s="4">
        <v>6</v>
      </c>
      <c r="M1409" s="3">
        <v>0.28000000000000003</v>
      </c>
      <c r="N1409" s="2">
        <v>-736.52</v>
      </c>
    </row>
    <row r="1410" spans="1:14" x14ac:dyDescent="0.3">
      <c r="A1410" t="s">
        <v>963</v>
      </c>
      <c r="B1410" s="1">
        <v>45269</v>
      </c>
      <c r="C1410" t="s">
        <v>964</v>
      </c>
      <c r="D1410" t="s">
        <v>50</v>
      </c>
      <c r="E1410" t="s">
        <v>17</v>
      </c>
      <c r="F1410" t="s">
        <v>27</v>
      </c>
      <c r="G1410" t="s">
        <v>28</v>
      </c>
      <c r="H1410" t="s">
        <v>20</v>
      </c>
      <c r="I1410" t="s">
        <v>29</v>
      </c>
      <c r="J1410" t="s">
        <v>54</v>
      </c>
      <c r="K1410" s="2">
        <v>4384.6000000000004</v>
      </c>
      <c r="L1410" s="4">
        <v>2</v>
      </c>
      <c r="M1410" s="3">
        <v>0.2</v>
      </c>
      <c r="N1410" s="2">
        <v>0</v>
      </c>
    </row>
    <row r="1411" spans="1:14" x14ac:dyDescent="0.3">
      <c r="A1411" t="s">
        <v>71</v>
      </c>
      <c r="B1411" s="1">
        <v>45269</v>
      </c>
      <c r="C1411" t="s">
        <v>72</v>
      </c>
      <c r="D1411" t="s">
        <v>57</v>
      </c>
      <c r="E1411" t="s">
        <v>51</v>
      </c>
      <c r="F1411" t="s">
        <v>46</v>
      </c>
      <c r="G1411" t="s">
        <v>46</v>
      </c>
      <c r="H1411" t="s">
        <v>47</v>
      </c>
      <c r="I1411" t="s">
        <v>29</v>
      </c>
      <c r="J1411" t="s">
        <v>22</v>
      </c>
      <c r="K1411" s="2">
        <v>27042.880000000001</v>
      </c>
      <c r="L1411" s="4">
        <v>10</v>
      </c>
      <c r="M1411" s="3">
        <v>0.17</v>
      </c>
      <c r="N1411" s="2">
        <v>405.64</v>
      </c>
    </row>
    <row r="1412" spans="1:14" x14ac:dyDescent="0.3">
      <c r="A1412" t="s">
        <v>1814</v>
      </c>
      <c r="B1412" s="1">
        <v>45269</v>
      </c>
      <c r="C1412" t="s">
        <v>318</v>
      </c>
      <c r="D1412" t="s">
        <v>50</v>
      </c>
      <c r="E1412" t="s">
        <v>17</v>
      </c>
      <c r="F1412" t="s">
        <v>27</v>
      </c>
      <c r="G1412" t="s">
        <v>28</v>
      </c>
      <c r="H1412" t="s">
        <v>20</v>
      </c>
      <c r="I1412" t="s">
        <v>43</v>
      </c>
      <c r="J1412" t="s">
        <v>64</v>
      </c>
      <c r="K1412" s="2">
        <v>7788.02</v>
      </c>
      <c r="L1412" s="4">
        <v>9</v>
      </c>
      <c r="M1412" s="3">
        <v>0.06</v>
      </c>
      <c r="N1412" s="2">
        <v>545.16</v>
      </c>
    </row>
    <row r="1413" spans="1:14" x14ac:dyDescent="0.3">
      <c r="A1413" t="s">
        <v>555</v>
      </c>
      <c r="B1413" s="1">
        <v>45270</v>
      </c>
      <c r="C1413" t="s">
        <v>556</v>
      </c>
      <c r="D1413" t="s">
        <v>85</v>
      </c>
      <c r="E1413" t="s">
        <v>17</v>
      </c>
      <c r="F1413" t="s">
        <v>34</v>
      </c>
      <c r="G1413" t="s">
        <v>35</v>
      </c>
      <c r="H1413" t="s">
        <v>36</v>
      </c>
      <c r="I1413" t="s">
        <v>21</v>
      </c>
      <c r="J1413" t="s">
        <v>37</v>
      </c>
      <c r="K1413" s="2">
        <v>24243.64</v>
      </c>
      <c r="L1413" s="4">
        <v>7</v>
      </c>
      <c r="M1413" s="3">
        <v>0.17</v>
      </c>
      <c r="N1413" s="2">
        <v>363.65</v>
      </c>
    </row>
    <row r="1414" spans="1:14" x14ac:dyDescent="0.3">
      <c r="A1414" t="s">
        <v>1074</v>
      </c>
      <c r="B1414" s="1">
        <v>45270</v>
      </c>
      <c r="C1414" t="s">
        <v>1075</v>
      </c>
      <c r="D1414" t="s">
        <v>57</v>
      </c>
      <c r="E1414" t="s">
        <v>51</v>
      </c>
      <c r="F1414" t="s">
        <v>34</v>
      </c>
      <c r="G1414" t="s">
        <v>35</v>
      </c>
      <c r="H1414" t="s">
        <v>36</v>
      </c>
      <c r="I1414" t="s">
        <v>29</v>
      </c>
      <c r="J1414" t="s">
        <v>22</v>
      </c>
      <c r="K1414" s="2">
        <v>22422.44</v>
      </c>
      <c r="L1414" s="4">
        <v>9</v>
      </c>
      <c r="M1414" s="3">
        <v>0.17</v>
      </c>
      <c r="N1414" s="2">
        <v>336.34</v>
      </c>
    </row>
    <row r="1415" spans="1:14" x14ac:dyDescent="0.3">
      <c r="A1415" t="s">
        <v>1113</v>
      </c>
      <c r="B1415" s="1">
        <v>45270</v>
      </c>
      <c r="C1415" t="s">
        <v>1114</v>
      </c>
      <c r="D1415" t="s">
        <v>85</v>
      </c>
      <c r="E1415" t="s">
        <v>51</v>
      </c>
      <c r="F1415" t="s">
        <v>34</v>
      </c>
      <c r="G1415" t="s">
        <v>35</v>
      </c>
      <c r="H1415" t="s">
        <v>36</v>
      </c>
      <c r="I1415" t="s">
        <v>43</v>
      </c>
      <c r="J1415" t="s">
        <v>54</v>
      </c>
      <c r="K1415" s="2">
        <v>22126.11</v>
      </c>
      <c r="L1415" s="4">
        <v>3</v>
      </c>
      <c r="M1415" s="3">
        <v>0.09</v>
      </c>
      <c r="N1415" s="2">
        <v>1216.94</v>
      </c>
    </row>
    <row r="1416" spans="1:14" x14ac:dyDescent="0.3">
      <c r="A1416" t="s">
        <v>1291</v>
      </c>
      <c r="B1416" s="1">
        <v>45270</v>
      </c>
      <c r="C1416" t="s">
        <v>1292</v>
      </c>
      <c r="D1416" t="s">
        <v>57</v>
      </c>
      <c r="E1416" t="s">
        <v>26</v>
      </c>
      <c r="F1416" t="s">
        <v>27</v>
      </c>
      <c r="G1416" t="s">
        <v>28</v>
      </c>
      <c r="H1416" t="s">
        <v>20</v>
      </c>
      <c r="I1416" t="s">
        <v>43</v>
      </c>
      <c r="J1416" t="s">
        <v>37</v>
      </c>
      <c r="K1416" s="2">
        <v>28015.79</v>
      </c>
      <c r="L1416" s="4">
        <v>5</v>
      </c>
      <c r="M1416" s="3">
        <v>0.25</v>
      </c>
      <c r="N1416" s="2">
        <v>-700.39</v>
      </c>
    </row>
    <row r="1417" spans="1:14" x14ac:dyDescent="0.3">
      <c r="A1417" t="s">
        <v>1485</v>
      </c>
      <c r="B1417" s="1">
        <v>45270</v>
      </c>
      <c r="C1417" t="s">
        <v>1486</v>
      </c>
      <c r="D1417" t="s">
        <v>61</v>
      </c>
      <c r="E1417" t="s">
        <v>26</v>
      </c>
      <c r="F1417" t="s">
        <v>79</v>
      </c>
      <c r="G1417" t="s">
        <v>80</v>
      </c>
      <c r="H1417" t="s">
        <v>47</v>
      </c>
      <c r="I1417" t="s">
        <v>29</v>
      </c>
      <c r="J1417" t="s">
        <v>37</v>
      </c>
      <c r="K1417" s="2">
        <v>34429.69</v>
      </c>
      <c r="L1417" s="4">
        <v>1</v>
      </c>
      <c r="M1417" s="3">
        <v>0.14000000000000001</v>
      </c>
      <c r="N1417" s="2">
        <v>1032.8900000000001</v>
      </c>
    </row>
    <row r="1418" spans="1:14" x14ac:dyDescent="0.3">
      <c r="A1418" t="s">
        <v>2277</v>
      </c>
      <c r="B1418" s="1">
        <v>45270</v>
      </c>
      <c r="C1418" t="s">
        <v>2278</v>
      </c>
      <c r="D1418" t="s">
        <v>50</v>
      </c>
      <c r="E1418" t="s">
        <v>17</v>
      </c>
      <c r="F1418" t="s">
        <v>46</v>
      </c>
      <c r="G1418" t="s">
        <v>46</v>
      </c>
      <c r="H1418" t="s">
        <v>47</v>
      </c>
      <c r="I1418" t="s">
        <v>29</v>
      </c>
      <c r="J1418" t="s">
        <v>58</v>
      </c>
      <c r="K1418" s="2">
        <v>30169.16</v>
      </c>
      <c r="L1418" s="4">
        <v>6</v>
      </c>
      <c r="M1418" s="3">
        <v>0.09</v>
      </c>
      <c r="N1418" s="2">
        <v>1659.3</v>
      </c>
    </row>
    <row r="1419" spans="1:14" x14ac:dyDescent="0.3">
      <c r="A1419" t="s">
        <v>738</v>
      </c>
      <c r="B1419" s="1">
        <v>45271</v>
      </c>
      <c r="C1419" t="s">
        <v>739</v>
      </c>
      <c r="D1419" t="s">
        <v>33</v>
      </c>
      <c r="E1419" t="s">
        <v>26</v>
      </c>
      <c r="F1419" t="s">
        <v>34</v>
      </c>
      <c r="G1419" t="s">
        <v>35</v>
      </c>
      <c r="H1419" t="s">
        <v>36</v>
      </c>
      <c r="I1419" t="s">
        <v>43</v>
      </c>
      <c r="J1419" t="s">
        <v>22</v>
      </c>
      <c r="K1419" s="2">
        <v>49022.68</v>
      </c>
      <c r="L1419" s="4">
        <v>8</v>
      </c>
      <c r="M1419" s="3">
        <v>0.21</v>
      </c>
      <c r="N1419" s="2">
        <v>-245.11</v>
      </c>
    </row>
    <row r="1420" spans="1:14" x14ac:dyDescent="0.3">
      <c r="A1420" t="s">
        <v>1644</v>
      </c>
      <c r="B1420" s="1">
        <v>45271</v>
      </c>
      <c r="C1420" t="s">
        <v>1309</v>
      </c>
      <c r="D1420" t="s">
        <v>50</v>
      </c>
      <c r="E1420" t="s">
        <v>51</v>
      </c>
      <c r="F1420" t="s">
        <v>46</v>
      </c>
      <c r="G1420" t="s">
        <v>46</v>
      </c>
      <c r="H1420" t="s">
        <v>47</v>
      </c>
      <c r="I1420" t="s">
        <v>29</v>
      </c>
      <c r="J1420" t="s">
        <v>64</v>
      </c>
      <c r="K1420" s="2">
        <v>23765.63</v>
      </c>
      <c r="L1420" s="4">
        <v>4</v>
      </c>
      <c r="M1420" s="3">
        <v>0.21</v>
      </c>
      <c r="N1420" s="2">
        <v>-118.83</v>
      </c>
    </row>
    <row r="1421" spans="1:14" x14ac:dyDescent="0.3">
      <c r="A1421" t="s">
        <v>1709</v>
      </c>
      <c r="B1421" s="1">
        <v>45272</v>
      </c>
      <c r="C1421" t="s">
        <v>1099</v>
      </c>
      <c r="D1421" t="s">
        <v>50</v>
      </c>
      <c r="E1421" t="s">
        <v>17</v>
      </c>
      <c r="F1421" t="s">
        <v>40</v>
      </c>
      <c r="G1421" t="s">
        <v>41</v>
      </c>
      <c r="H1421" t="s">
        <v>42</v>
      </c>
      <c r="I1421" t="s">
        <v>43</v>
      </c>
      <c r="J1421" t="s">
        <v>37</v>
      </c>
      <c r="K1421" s="2">
        <v>20162.509999999998</v>
      </c>
      <c r="L1421" s="4">
        <v>3</v>
      </c>
      <c r="M1421" s="3">
        <v>0.26</v>
      </c>
      <c r="N1421" s="2">
        <v>-604.88</v>
      </c>
    </row>
    <row r="1422" spans="1:14" x14ac:dyDescent="0.3">
      <c r="A1422" t="s">
        <v>1998</v>
      </c>
      <c r="B1422" s="1">
        <v>45272</v>
      </c>
      <c r="C1422" t="s">
        <v>1999</v>
      </c>
      <c r="D1422" t="s">
        <v>25</v>
      </c>
      <c r="E1422" t="s">
        <v>51</v>
      </c>
      <c r="F1422" t="s">
        <v>27</v>
      </c>
      <c r="G1422" t="s">
        <v>28</v>
      </c>
      <c r="H1422" t="s">
        <v>20</v>
      </c>
      <c r="I1422" t="s">
        <v>29</v>
      </c>
      <c r="J1422" t="s">
        <v>64</v>
      </c>
      <c r="K1422" s="2">
        <v>14495.39</v>
      </c>
      <c r="L1422" s="4">
        <v>8</v>
      </c>
      <c r="M1422" s="3">
        <v>0.11</v>
      </c>
      <c r="N1422" s="2">
        <v>652.29</v>
      </c>
    </row>
    <row r="1423" spans="1:14" x14ac:dyDescent="0.3">
      <c r="A1423" t="s">
        <v>2134</v>
      </c>
      <c r="B1423" s="1">
        <v>45272</v>
      </c>
      <c r="C1423" t="s">
        <v>1650</v>
      </c>
      <c r="D1423" t="s">
        <v>25</v>
      </c>
      <c r="E1423" t="s">
        <v>51</v>
      </c>
      <c r="F1423" t="s">
        <v>18</v>
      </c>
      <c r="G1423" t="s">
        <v>19</v>
      </c>
      <c r="H1423" t="s">
        <v>20</v>
      </c>
      <c r="I1423" t="s">
        <v>21</v>
      </c>
      <c r="J1423" t="s">
        <v>54</v>
      </c>
      <c r="K1423" s="2">
        <v>30092.02</v>
      </c>
      <c r="L1423" s="4">
        <v>3</v>
      </c>
      <c r="M1423" s="3">
        <v>0.03</v>
      </c>
      <c r="N1423" s="2">
        <v>2557.8200000000002</v>
      </c>
    </row>
    <row r="1424" spans="1:14" x14ac:dyDescent="0.3">
      <c r="A1424" t="s">
        <v>1065</v>
      </c>
      <c r="B1424" s="1">
        <v>45272</v>
      </c>
      <c r="C1424" t="s">
        <v>1066</v>
      </c>
      <c r="D1424" t="s">
        <v>25</v>
      </c>
      <c r="E1424" t="s">
        <v>51</v>
      </c>
      <c r="F1424" t="s">
        <v>79</v>
      </c>
      <c r="G1424" t="s">
        <v>80</v>
      </c>
      <c r="H1424" t="s">
        <v>47</v>
      </c>
      <c r="I1424" t="s">
        <v>29</v>
      </c>
      <c r="J1424" t="s">
        <v>22</v>
      </c>
      <c r="K1424" s="2">
        <v>12266.96</v>
      </c>
      <c r="L1424" s="4">
        <v>7</v>
      </c>
      <c r="M1424" s="3">
        <v>0.05</v>
      </c>
      <c r="N1424" s="2">
        <v>920.02</v>
      </c>
    </row>
    <row r="1425" spans="1:14" x14ac:dyDescent="0.3">
      <c r="A1425" t="s">
        <v>2244</v>
      </c>
      <c r="B1425" s="1">
        <v>45272</v>
      </c>
      <c r="C1425" t="s">
        <v>663</v>
      </c>
      <c r="D1425" t="s">
        <v>57</v>
      </c>
      <c r="E1425" t="s">
        <v>51</v>
      </c>
      <c r="F1425" t="s">
        <v>34</v>
      </c>
      <c r="G1425" t="s">
        <v>35</v>
      </c>
      <c r="H1425" t="s">
        <v>36</v>
      </c>
      <c r="I1425" t="s">
        <v>21</v>
      </c>
      <c r="J1425" t="s">
        <v>30</v>
      </c>
      <c r="K1425" s="2">
        <v>9935.36</v>
      </c>
      <c r="L1425" s="4">
        <v>10</v>
      </c>
      <c r="M1425" s="3">
        <v>0.2</v>
      </c>
      <c r="N1425" s="2">
        <v>0</v>
      </c>
    </row>
    <row r="1426" spans="1:14" x14ac:dyDescent="0.3">
      <c r="A1426" t="s">
        <v>1037</v>
      </c>
      <c r="B1426" s="1">
        <v>45272</v>
      </c>
      <c r="C1426" t="s">
        <v>180</v>
      </c>
      <c r="D1426" t="s">
        <v>33</v>
      </c>
      <c r="E1426" t="s">
        <v>26</v>
      </c>
      <c r="F1426" t="s">
        <v>27</v>
      </c>
      <c r="G1426" t="s">
        <v>28</v>
      </c>
      <c r="H1426" t="s">
        <v>20</v>
      </c>
      <c r="I1426" t="s">
        <v>29</v>
      </c>
      <c r="J1426" t="s">
        <v>37</v>
      </c>
      <c r="K1426" s="2">
        <v>25561.22</v>
      </c>
      <c r="L1426" s="4">
        <v>6</v>
      </c>
      <c r="M1426" s="3">
        <v>0.02</v>
      </c>
      <c r="N1426" s="2">
        <v>2300.5100000000002</v>
      </c>
    </row>
    <row r="1427" spans="1:14" x14ac:dyDescent="0.3">
      <c r="A1427" t="s">
        <v>1910</v>
      </c>
      <c r="B1427" s="1">
        <v>45273</v>
      </c>
      <c r="C1427" t="s">
        <v>1297</v>
      </c>
      <c r="D1427" t="s">
        <v>33</v>
      </c>
      <c r="E1427" t="s">
        <v>26</v>
      </c>
      <c r="F1427" t="s">
        <v>27</v>
      </c>
      <c r="G1427" t="s">
        <v>28</v>
      </c>
      <c r="H1427" t="s">
        <v>20</v>
      </c>
      <c r="I1427" t="s">
        <v>43</v>
      </c>
      <c r="J1427" t="s">
        <v>30</v>
      </c>
      <c r="K1427" s="2">
        <v>34086.550000000003</v>
      </c>
      <c r="L1427" s="4">
        <v>8</v>
      </c>
      <c r="M1427" s="3">
        <v>0.14000000000000001</v>
      </c>
      <c r="N1427" s="2">
        <v>1022.6</v>
      </c>
    </row>
    <row r="1428" spans="1:14" x14ac:dyDescent="0.3">
      <c r="A1428" t="s">
        <v>2158</v>
      </c>
      <c r="B1428" s="1">
        <v>45273</v>
      </c>
      <c r="C1428" t="s">
        <v>1746</v>
      </c>
      <c r="D1428" t="s">
        <v>16</v>
      </c>
      <c r="E1428" t="s">
        <v>51</v>
      </c>
      <c r="F1428" t="s">
        <v>27</v>
      </c>
      <c r="G1428" t="s">
        <v>28</v>
      </c>
      <c r="H1428" t="s">
        <v>20</v>
      </c>
      <c r="I1428" t="s">
        <v>43</v>
      </c>
      <c r="J1428" t="s">
        <v>54</v>
      </c>
      <c r="K1428" s="2">
        <v>32283.38</v>
      </c>
      <c r="L1428" s="4">
        <v>5</v>
      </c>
      <c r="M1428" s="3">
        <v>0.2</v>
      </c>
      <c r="N1428" s="2">
        <v>0</v>
      </c>
    </row>
    <row r="1429" spans="1:14" x14ac:dyDescent="0.3">
      <c r="A1429" t="s">
        <v>552</v>
      </c>
      <c r="B1429" s="1">
        <v>45273</v>
      </c>
      <c r="C1429" t="s">
        <v>553</v>
      </c>
      <c r="D1429" t="s">
        <v>85</v>
      </c>
      <c r="E1429" t="s">
        <v>51</v>
      </c>
      <c r="F1429" t="s">
        <v>46</v>
      </c>
      <c r="G1429" t="s">
        <v>46</v>
      </c>
      <c r="H1429" t="s">
        <v>47</v>
      </c>
      <c r="I1429" t="s">
        <v>21</v>
      </c>
      <c r="J1429" t="s">
        <v>106</v>
      </c>
      <c r="K1429" s="2">
        <v>11248.41</v>
      </c>
      <c r="L1429" s="4">
        <v>6</v>
      </c>
      <c r="M1429" s="3">
        <v>0.21</v>
      </c>
      <c r="N1429" s="2">
        <v>-56.24</v>
      </c>
    </row>
    <row r="1430" spans="1:14" x14ac:dyDescent="0.3">
      <c r="A1430" t="s">
        <v>1822</v>
      </c>
      <c r="B1430" s="1">
        <v>45273</v>
      </c>
      <c r="C1430" t="s">
        <v>1823</v>
      </c>
      <c r="D1430" t="s">
        <v>57</v>
      </c>
      <c r="E1430" t="s">
        <v>26</v>
      </c>
      <c r="F1430" t="s">
        <v>27</v>
      </c>
      <c r="G1430" t="s">
        <v>28</v>
      </c>
      <c r="H1430" t="s">
        <v>20</v>
      </c>
      <c r="I1430" t="s">
        <v>43</v>
      </c>
      <c r="J1430" t="s">
        <v>37</v>
      </c>
      <c r="K1430" s="2">
        <v>21149.87</v>
      </c>
      <c r="L1430" s="4">
        <v>10</v>
      </c>
      <c r="M1430" s="3">
        <v>0.04</v>
      </c>
      <c r="N1430" s="2">
        <v>1691.99</v>
      </c>
    </row>
    <row r="1431" spans="1:14" x14ac:dyDescent="0.3">
      <c r="A1431" t="s">
        <v>617</v>
      </c>
      <c r="B1431" s="1">
        <v>45274</v>
      </c>
      <c r="C1431" t="s">
        <v>618</v>
      </c>
      <c r="D1431" t="s">
        <v>57</v>
      </c>
      <c r="E1431" t="s">
        <v>17</v>
      </c>
      <c r="F1431" t="s">
        <v>46</v>
      </c>
      <c r="G1431" t="s">
        <v>46</v>
      </c>
      <c r="H1431" t="s">
        <v>47</v>
      </c>
      <c r="I1431" t="s">
        <v>43</v>
      </c>
      <c r="J1431" t="s">
        <v>30</v>
      </c>
      <c r="K1431" s="2">
        <v>34555.71</v>
      </c>
      <c r="L1431" s="4">
        <v>1</v>
      </c>
      <c r="M1431" s="3">
        <v>0.05</v>
      </c>
      <c r="N1431" s="2">
        <v>2591.6799999999998</v>
      </c>
    </row>
    <row r="1432" spans="1:14" x14ac:dyDescent="0.3">
      <c r="A1432" t="s">
        <v>2190</v>
      </c>
      <c r="B1432" s="1">
        <v>45274</v>
      </c>
      <c r="C1432" t="s">
        <v>97</v>
      </c>
      <c r="D1432" t="s">
        <v>50</v>
      </c>
      <c r="E1432" t="s">
        <v>17</v>
      </c>
      <c r="F1432" t="s">
        <v>18</v>
      </c>
      <c r="G1432" t="s">
        <v>19</v>
      </c>
      <c r="H1432" t="s">
        <v>20</v>
      </c>
      <c r="I1432" t="s">
        <v>21</v>
      </c>
      <c r="J1432" t="s">
        <v>54</v>
      </c>
      <c r="K1432" s="2">
        <v>14426.96</v>
      </c>
      <c r="L1432" s="4">
        <v>6</v>
      </c>
      <c r="M1432" s="3">
        <v>0.06</v>
      </c>
      <c r="N1432" s="2">
        <v>1009.89</v>
      </c>
    </row>
    <row r="1433" spans="1:14" x14ac:dyDescent="0.3">
      <c r="A1433" t="s">
        <v>770</v>
      </c>
      <c r="B1433" s="1">
        <v>45274</v>
      </c>
      <c r="C1433" t="s">
        <v>771</v>
      </c>
      <c r="D1433" t="s">
        <v>50</v>
      </c>
      <c r="E1433" t="s">
        <v>26</v>
      </c>
      <c r="F1433" t="s">
        <v>18</v>
      </c>
      <c r="G1433" t="s">
        <v>19</v>
      </c>
      <c r="H1433" t="s">
        <v>20</v>
      </c>
      <c r="I1433" t="s">
        <v>29</v>
      </c>
      <c r="J1433" t="s">
        <v>54</v>
      </c>
      <c r="K1433" s="2">
        <v>7680.07</v>
      </c>
      <c r="L1433" s="4">
        <v>10</v>
      </c>
      <c r="M1433" s="3">
        <v>0.25</v>
      </c>
      <c r="N1433" s="2">
        <v>-192</v>
      </c>
    </row>
    <row r="1434" spans="1:14" x14ac:dyDescent="0.3">
      <c r="A1434" t="s">
        <v>1601</v>
      </c>
      <c r="B1434" s="1">
        <v>45274</v>
      </c>
      <c r="C1434" t="s">
        <v>505</v>
      </c>
      <c r="D1434" t="s">
        <v>57</v>
      </c>
      <c r="E1434" t="s">
        <v>17</v>
      </c>
      <c r="F1434" t="s">
        <v>27</v>
      </c>
      <c r="G1434" t="s">
        <v>28</v>
      </c>
      <c r="H1434" t="s">
        <v>20</v>
      </c>
      <c r="I1434" t="s">
        <v>29</v>
      </c>
      <c r="J1434" t="s">
        <v>30</v>
      </c>
      <c r="K1434" s="2">
        <v>36278.959999999999</v>
      </c>
      <c r="L1434" s="4">
        <v>6</v>
      </c>
      <c r="M1434" s="3">
        <v>0.08</v>
      </c>
      <c r="N1434" s="2">
        <v>2176.7399999999998</v>
      </c>
    </row>
    <row r="1435" spans="1:14" x14ac:dyDescent="0.3">
      <c r="A1435" t="s">
        <v>2027</v>
      </c>
      <c r="B1435" s="1">
        <v>45274</v>
      </c>
      <c r="C1435" t="s">
        <v>216</v>
      </c>
      <c r="D1435" t="s">
        <v>61</v>
      </c>
      <c r="E1435" t="s">
        <v>26</v>
      </c>
      <c r="F1435" t="s">
        <v>18</v>
      </c>
      <c r="G1435" t="s">
        <v>19</v>
      </c>
      <c r="H1435" t="s">
        <v>20</v>
      </c>
      <c r="I1435" t="s">
        <v>43</v>
      </c>
      <c r="J1435" t="s">
        <v>54</v>
      </c>
      <c r="K1435" s="2">
        <v>41917.03</v>
      </c>
      <c r="L1435" s="4">
        <v>8</v>
      </c>
      <c r="M1435" s="3">
        <v>0.28000000000000003</v>
      </c>
      <c r="N1435" s="2">
        <v>-1676.68</v>
      </c>
    </row>
    <row r="1436" spans="1:14" x14ac:dyDescent="0.3">
      <c r="A1436" t="s">
        <v>358</v>
      </c>
      <c r="B1436" s="1">
        <v>45275</v>
      </c>
      <c r="C1436" t="s">
        <v>359</v>
      </c>
      <c r="D1436" t="s">
        <v>85</v>
      </c>
      <c r="E1436" t="s">
        <v>26</v>
      </c>
      <c r="F1436" t="s">
        <v>27</v>
      </c>
      <c r="G1436" t="s">
        <v>28</v>
      </c>
      <c r="H1436" t="s">
        <v>20</v>
      </c>
      <c r="I1436" t="s">
        <v>21</v>
      </c>
      <c r="J1436" t="s">
        <v>106</v>
      </c>
      <c r="K1436" s="2">
        <v>37004.75</v>
      </c>
      <c r="L1436" s="4">
        <v>5</v>
      </c>
      <c r="M1436" s="3">
        <v>0.27</v>
      </c>
      <c r="N1436" s="2">
        <v>-1295.17</v>
      </c>
    </row>
    <row r="1437" spans="1:14" x14ac:dyDescent="0.3">
      <c r="A1437" t="s">
        <v>1213</v>
      </c>
      <c r="B1437" s="1">
        <v>45275</v>
      </c>
      <c r="C1437" t="s">
        <v>346</v>
      </c>
      <c r="D1437" t="s">
        <v>16</v>
      </c>
      <c r="E1437" t="s">
        <v>26</v>
      </c>
      <c r="F1437" t="s">
        <v>34</v>
      </c>
      <c r="G1437" t="s">
        <v>35</v>
      </c>
      <c r="H1437" t="s">
        <v>36</v>
      </c>
      <c r="I1437" t="s">
        <v>21</v>
      </c>
      <c r="J1437" t="s">
        <v>106</v>
      </c>
      <c r="K1437" s="2">
        <v>40585.17</v>
      </c>
      <c r="L1437" s="4">
        <v>9</v>
      </c>
      <c r="M1437" s="3">
        <v>0.03</v>
      </c>
      <c r="N1437" s="2">
        <v>3449.74</v>
      </c>
    </row>
    <row r="1438" spans="1:14" x14ac:dyDescent="0.3">
      <c r="A1438" t="s">
        <v>1446</v>
      </c>
      <c r="B1438" s="1">
        <v>45275</v>
      </c>
      <c r="C1438" t="s">
        <v>1447</v>
      </c>
      <c r="D1438" t="s">
        <v>61</v>
      </c>
      <c r="E1438" t="s">
        <v>17</v>
      </c>
      <c r="F1438" t="s">
        <v>34</v>
      </c>
      <c r="G1438" t="s">
        <v>35</v>
      </c>
      <c r="H1438" t="s">
        <v>36</v>
      </c>
      <c r="I1438" t="s">
        <v>43</v>
      </c>
      <c r="J1438" t="s">
        <v>64</v>
      </c>
      <c r="K1438" s="2">
        <v>16645.46</v>
      </c>
      <c r="L1438" s="4">
        <v>10</v>
      </c>
      <c r="M1438" s="3">
        <v>0.23</v>
      </c>
      <c r="N1438" s="2">
        <v>-249.68</v>
      </c>
    </row>
    <row r="1439" spans="1:14" x14ac:dyDescent="0.3">
      <c r="A1439" t="s">
        <v>1623</v>
      </c>
      <c r="B1439" s="1">
        <v>45275</v>
      </c>
      <c r="C1439" t="s">
        <v>1624</v>
      </c>
      <c r="D1439" t="s">
        <v>16</v>
      </c>
      <c r="E1439" t="s">
        <v>51</v>
      </c>
      <c r="F1439" t="s">
        <v>79</v>
      </c>
      <c r="G1439" t="s">
        <v>80</v>
      </c>
      <c r="H1439" t="s">
        <v>47</v>
      </c>
      <c r="I1439" t="s">
        <v>43</v>
      </c>
      <c r="J1439" t="s">
        <v>64</v>
      </c>
      <c r="K1439" s="2">
        <v>25277.39</v>
      </c>
      <c r="L1439" s="4">
        <v>2</v>
      </c>
      <c r="M1439" s="3">
        <v>7.0000000000000007E-2</v>
      </c>
      <c r="N1439" s="2">
        <v>1643.03</v>
      </c>
    </row>
    <row r="1440" spans="1:14" x14ac:dyDescent="0.3">
      <c r="A1440" t="s">
        <v>2259</v>
      </c>
      <c r="B1440" s="1">
        <v>45275</v>
      </c>
      <c r="C1440" t="s">
        <v>2260</v>
      </c>
      <c r="D1440" t="s">
        <v>33</v>
      </c>
      <c r="E1440" t="s">
        <v>51</v>
      </c>
      <c r="F1440" t="s">
        <v>40</v>
      </c>
      <c r="G1440" t="s">
        <v>41</v>
      </c>
      <c r="H1440" t="s">
        <v>42</v>
      </c>
      <c r="I1440" t="s">
        <v>21</v>
      </c>
      <c r="J1440" t="s">
        <v>54</v>
      </c>
      <c r="K1440" s="2">
        <v>45074.22</v>
      </c>
      <c r="L1440" s="4">
        <v>6</v>
      </c>
      <c r="M1440" s="3">
        <v>0.12</v>
      </c>
      <c r="N1440" s="2">
        <v>1802.97</v>
      </c>
    </row>
    <row r="1441" spans="1:14" x14ac:dyDescent="0.3">
      <c r="A1441" t="s">
        <v>487</v>
      </c>
      <c r="B1441" s="1">
        <v>45276</v>
      </c>
      <c r="C1441" t="s">
        <v>325</v>
      </c>
      <c r="D1441" t="s">
        <v>85</v>
      </c>
      <c r="E1441" t="s">
        <v>17</v>
      </c>
      <c r="F1441" t="s">
        <v>40</v>
      </c>
      <c r="G1441" t="s">
        <v>41</v>
      </c>
      <c r="H1441" t="s">
        <v>42</v>
      </c>
      <c r="I1441" t="s">
        <v>43</v>
      </c>
      <c r="J1441" t="s">
        <v>30</v>
      </c>
      <c r="K1441" s="2">
        <v>45752</v>
      </c>
      <c r="L1441" s="4">
        <v>2</v>
      </c>
      <c r="M1441" s="3">
        <v>0.13</v>
      </c>
      <c r="N1441" s="2">
        <v>1601.32</v>
      </c>
    </row>
    <row r="1442" spans="1:14" x14ac:dyDescent="0.3">
      <c r="A1442" t="s">
        <v>917</v>
      </c>
      <c r="B1442" s="1">
        <v>45276</v>
      </c>
      <c r="C1442" t="s">
        <v>918</v>
      </c>
      <c r="D1442" t="s">
        <v>33</v>
      </c>
      <c r="E1442" t="s">
        <v>26</v>
      </c>
      <c r="F1442" t="s">
        <v>46</v>
      </c>
      <c r="G1442" t="s">
        <v>46</v>
      </c>
      <c r="H1442" t="s">
        <v>47</v>
      </c>
      <c r="I1442" t="s">
        <v>43</v>
      </c>
      <c r="J1442" t="s">
        <v>58</v>
      </c>
      <c r="K1442" s="2">
        <v>19500.28</v>
      </c>
      <c r="L1442" s="4">
        <v>2</v>
      </c>
      <c r="M1442" s="3">
        <v>0.09</v>
      </c>
      <c r="N1442" s="2">
        <v>1072.52</v>
      </c>
    </row>
    <row r="1443" spans="1:14" x14ac:dyDescent="0.3">
      <c r="A1443" t="s">
        <v>705</v>
      </c>
      <c r="B1443" s="1">
        <v>45276</v>
      </c>
      <c r="C1443" t="s">
        <v>706</v>
      </c>
      <c r="D1443" t="s">
        <v>50</v>
      </c>
      <c r="E1443" t="s">
        <v>17</v>
      </c>
      <c r="F1443" t="s">
        <v>18</v>
      </c>
      <c r="G1443" t="s">
        <v>19</v>
      </c>
      <c r="H1443" t="s">
        <v>20</v>
      </c>
      <c r="I1443" t="s">
        <v>43</v>
      </c>
      <c r="J1443" t="s">
        <v>37</v>
      </c>
      <c r="K1443" s="2">
        <v>42115.7</v>
      </c>
      <c r="L1443" s="4">
        <v>5</v>
      </c>
      <c r="M1443" s="3">
        <v>0.13</v>
      </c>
      <c r="N1443" s="2">
        <v>1474.05</v>
      </c>
    </row>
    <row r="1444" spans="1:14" x14ac:dyDescent="0.3">
      <c r="A1444" t="s">
        <v>1625</v>
      </c>
      <c r="B1444" s="1">
        <v>45277</v>
      </c>
      <c r="C1444" t="s">
        <v>413</v>
      </c>
      <c r="D1444" t="s">
        <v>85</v>
      </c>
      <c r="E1444" t="s">
        <v>51</v>
      </c>
      <c r="F1444" t="s">
        <v>18</v>
      </c>
      <c r="G1444" t="s">
        <v>19</v>
      </c>
      <c r="H1444" t="s">
        <v>20</v>
      </c>
      <c r="I1444" t="s">
        <v>21</v>
      </c>
      <c r="J1444" t="s">
        <v>58</v>
      </c>
      <c r="K1444" s="2">
        <v>14288.73</v>
      </c>
      <c r="L1444" s="4">
        <v>1</v>
      </c>
      <c r="M1444" s="3">
        <v>0.03</v>
      </c>
      <c r="N1444" s="2">
        <v>1214.54</v>
      </c>
    </row>
    <row r="1445" spans="1:14" x14ac:dyDescent="0.3">
      <c r="A1445" t="s">
        <v>1683</v>
      </c>
      <c r="B1445" s="1">
        <v>45277</v>
      </c>
      <c r="C1445" t="s">
        <v>836</v>
      </c>
      <c r="D1445" t="s">
        <v>85</v>
      </c>
      <c r="E1445" t="s">
        <v>17</v>
      </c>
      <c r="F1445" t="s">
        <v>40</v>
      </c>
      <c r="G1445" t="s">
        <v>41</v>
      </c>
      <c r="H1445" t="s">
        <v>42</v>
      </c>
      <c r="I1445" t="s">
        <v>43</v>
      </c>
      <c r="J1445" t="s">
        <v>64</v>
      </c>
      <c r="K1445" s="2">
        <v>43153.93</v>
      </c>
      <c r="L1445" s="4">
        <v>2</v>
      </c>
      <c r="M1445" s="3">
        <v>0.06</v>
      </c>
      <c r="N1445" s="2">
        <v>3020.78</v>
      </c>
    </row>
    <row r="1446" spans="1:14" x14ac:dyDescent="0.3">
      <c r="A1446" t="s">
        <v>2143</v>
      </c>
      <c r="B1446" s="1">
        <v>45277</v>
      </c>
      <c r="C1446" t="s">
        <v>1721</v>
      </c>
      <c r="D1446" t="s">
        <v>85</v>
      </c>
      <c r="E1446" t="s">
        <v>26</v>
      </c>
      <c r="F1446" t="s">
        <v>18</v>
      </c>
      <c r="G1446" t="s">
        <v>19</v>
      </c>
      <c r="H1446" t="s">
        <v>20</v>
      </c>
      <c r="I1446" t="s">
        <v>29</v>
      </c>
      <c r="J1446" t="s">
        <v>54</v>
      </c>
      <c r="K1446" s="2">
        <v>43695.02</v>
      </c>
      <c r="L1446" s="4">
        <v>1</v>
      </c>
      <c r="M1446" s="3">
        <v>0.13</v>
      </c>
      <c r="N1446" s="2">
        <v>1529.33</v>
      </c>
    </row>
    <row r="1447" spans="1:14" x14ac:dyDescent="0.3">
      <c r="A1447" t="s">
        <v>185</v>
      </c>
      <c r="B1447" s="1">
        <v>45277</v>
      </c>
      <c r="C1447" t="s">
        <v>186</v>
      </c>
      <c r="D1447" t="s">
        <v>57</v>
      </c>
      <c r="E1447" t="s">
        <v>51</v>
      </c>
      <c r="F1447" t="s">
        <v>40</v>
      </c>
      <c r="G1447" t="s">
        <v>41</v>
      </c>
      <c r="H1447" t="s">
        <v>42</v>
      </c>
      <c r="I1447" t="s">
        <v>43</v>
      </c>
      <c r="J1447" t="s">
        <v>64</v>
      </c>
      <c r="K1447" s="2">
        <v>4578.59</v>
      </c>
      <c r="L1447" s="4">
        <v>9</v>
      </c>
      <c r="M1447" s="3">
        <v>0.28999999999999998</v>
      </c>
      <c r="N1447" s="2">
        <v>-206.04</v>
      </c>
    </row>
    <row r="1448" spans="1:14" x14ac:dyDescent="0.3">
      <c r="A1448" t="s">
        <v>1250</v>
      </c>
      <c r="B1448" s="1">
        <v>45277</v>
      </c>
      <c r="C1448" t="s">
        <v>1251</v>
      </c>
      <c r="D1448" t="s">
        <v>16</v>
      </c>
      <c r="E1448" t="s">
        <v>17</v>
      </c>
      <c r="F1448" t="s">
        <v>40</v>
      </c>
      <c r="G1448" t="s">
        <v>41</v>
      </c>
      <c r="H1448" t="s">
        <v>42</v>
      </c>
      <c r="I1448" t="s">
        <v>43</v>
      </c>
      <c r="J1448" t="s">
        <v>54</v>
      </c>
      <c r="K1448" s="2">
        <v>13592.1</v>
      </c>
      <c r="L1448" s="4">
        <v>4</v>
      </c>
      <c r="M1448" s="3">
        <v>0.2</v>
      </c>
      <c r="N1448" s="2">
        <v>0</v>
      </c>
    </row>
    <row r="1449" spans="1:14" x14ac:dyDescent="0.3">
      <c r="A1449" t="s">
        <v>940</v>
      </c>
      <c r="B1449" s="1">
        <v>45277</v>
      </c>
      <c r="C1449" t="s">
        <v>501</v>
      </c>
      <c r="D1449" t="s">
        <v>16</v>
      </c>
      <c r="E1449" t="s">
        <v>26</v>
      </c>
      <c r="F1449" t="s">
        <v>79</v>
      </c>
      <c r="G1449" t="s">
        <v>80</v>
      </c>
      <c r="H1449" t="s">
        <v>47</v>
      </c>
      <c r="I1449" t="s">
        <v>21</v>
      </c>
      <c r="J1449" t="s">
        <v>64</v>
      </c>
      <c r="K1449" s="2">
        <v>13215.89</v>
      </c>
      <c r="L1449" s="4">
        <v>1</v>
      </c>
      <c r="M1449" s="3">
        <v>0.17</v>
      </c>
      <c r="N1449" s="2">
        <v>198.24</v>
      </c>
    </row>
    <row r="1450" spans="1:14" x14ac:dyDescent="0.3">
      <c r="A1450" t="s">
        <v>1790</v>
      </c>
      <c r="B1450" s="1">
        <v>45279</v>
      </c>
      <c r="C1450" t="s">
        <v>1791</v>
      </c>
      <c r="D1450" t="s">
        <v>61</v>
      </c>
      <c r="E1450" t="s">
        <v>26</v>
      </c>
      <c r="F1450" t="s">
        <v>40</v>
      </c>
      <c r="G1450" t="s">
        <v>41</v>
      </c>
      <c r="H1450" t="s">
        <v>42</v>
      </c>
      <c r="I1450" t="s">
        <v>43</v>
      </c>
      <c r="J1450" t="s">
        <v>106</v>
      </c>
      <c r="K1450" s="2">
        <v>39057.68</v>
      </c>
      <c r="L1450" s="4">
        <v>4</v>
      </c>
      <c r="M1450" s="3">
        <v>0.09</v>
      </c>
      <c r="N1450" s="2">
        <v>2148.17</v>
      </c>
    </row>
    <row r="1451" spans="1:14" x14ac:dyDescent="0.3">
      <c r="A1451" t="s">
        <v>2192</v>
      </c>
      <c r="B1451" s="1">
        <v>45279</v>
      </c>
      <c r="C1451" t="s">
        <v>1287</v>
      </c>
      <c r="D1451" t="s">
        <v>57</v>
      </c>
      <c r="E1451" t="s">
        <v>17</v>
      </c>
      <c r="F1451" t="s">
        <v>34</v>
      </c>
      <c r="G1451" t="s">
        <v>35</v>
      </c>
      <c r="H1451" t="s">
        <v>36</v>
      </c>
      <c r="I1451" t="s">
        <v>21</v>
      </c>
      <c r="J1451" t="s">
        <v>22</v>
      </c>
      <c r="K1451" s="2">
        <v>41419.949999999997</v>
      </c>
      <c r="L1451" s="4">
        <v>6</v>
      </c>
      <c r="M1451" s="3">
        <v>0.23</v>
      </c>
      <c r="N1451" s="2">
        <v>-621.29999999999995</v>
      </c>
    </row>
    <row r="1452" spans="1:14" x14ac:dyDescent="0.3">
      <c r="A1452" t="s">
        <v>2199</v>
      </c>
      <c r="B1452" s="1">
        <v>45279</v>
      </c>
      <c r="C1452" t="s">
        <v>2009</v>
      </c>
      <c r="D1452" t="s">
        <v>16</v>
      </c>
      <c r="E1452" t="s">
        <v>26</v>
      </c>
      <c r="F1452" t="s">
        <v>79</v>
      </c>
      <c r="G1452" t="s">
        <v>80</v>
      </c>
      <c r="H1452" t="s">
        <v>47</v>
      </c>
      <c r="I1452" t="s">
        <v>29</v>
      </c>
      <c r="J1452" t="s">
        <v>58</v>
      </c>
      <c r="K1452" s="2">
        <v>23421.4</v>
      </c>
      <c r="L1452" s="4">
        <v>3</v>
      </c>
      <c r="M1452" s="3">
        <v>0.14000000000000001</v>
      </c>
      <c r="N1452" s="2">
        <v>702.64</v>
      </c>
    </row>
    <row r="1453" spans="1:14" x14ac:dyDescent="0.3">
      <c r="A1453" t="s">
        <v>1899</v>
      </c>
      <c r="B1453" s="1">
        <v>45279</v>
      </c>
      <c r="C1453" t="s">
        <v>1159</v>
      </c>
      <c r="D1453" t="s">
        <v>16</v>
      </c>
      <c r="E1453" t="s">
        <v>51</v>
      </c>
      <c r="F1453" t="s">
        <v>34</v>
      </c>
      <c r="G1453" t="s">
        <v>35</v>
      </c>
      <c r="H1453" t="s">
        <v>36</v>
      </c>
      <c r="I1453" t="s">
        <v>21</v>
      </c>
      <c r="J1453" t="s">
        <v>106</v>
      </c>
      <c r="K1453" s="2">
        <v>30265.05</v>
      </c>
      <c r="L1453" s="4">
        <v>3</v>
      </c>
      <c r="M1453" s="3">
        <v>0.11</v>
      </c>
      <c r="N1453" s="2">
        <v>1361.93</v>
      </c>
    </row>
    <row r="1454" spans="1:14" x14ac:dyDescent="0.3">
      <c r="A1454" t="s">
        <v>574</v>
      </c>
      <c r="B1454" s="1">
        <v>45279</v>
      </c>
      <c r="C1454" t="s">
        <v>575</v>
      </c>
      <c r="D1454" t="s">
        <v>57</v>
      </c>
      <c r="E1454" t="s">
        <v>17</v>
      </c>
      <c r="F1454" t="s">
        <v>40</v>
      </c>
      <c r="G1454" t="s">
        <v>41</v>
      </c>
      <c r="H1454" t="s">
        <v>42</v>
      </c>
      <c r="I1454" t="s">
        <v>21</v>
      </c>
      <c r="J1454" t="s">
        <v>30</v>
      </c>
      <c r="K1454" s="2">
        <v>37661.99</v>
      </c>
      <c r="L1454" s="4">
        <v>1</v>
      </c>
      <c r="M1454" s="3">
        <v>0.23</v>
      </c>
      <c r="N1454" s="2">
        <v>-564.92999999999995</v>
      </c>
    </row>
    <row r="1455" spans="1:14" x14ac:dyDescent="0.3">
      <c r="A1455" t="s">
        <v>888</v>
      </c>
      <c r="B1455" s="1">
        <v>45280</v>
      </c>
      <c r="C1455" t="s">
        <v>889</v>
      </c>
      <c r="D1455" t="s">
        <v>50</v>
      </c>
      <c r="E1455" t="s">
        <v>26</v>
      </c>
      <c r="F1455" t="s">
        <v>79</v>
      </c>
      <c r="G1455" t="s">
        <v>80</v>
      </c>
      <c r="H1455" t="s">
        <v>47</v>
      </c>
      <c r="I1455" t="s">
        <v>29</v>
      </c>
      <c r="J1455" t="s">
        <v>64</v>
      </c>
      <c r="K1455" s="2">
        <v>43002.86</v>
      </c>
      <c r="L1455" s="4">
        <v>4</v>
      </c>
      <c r="M1455" s="3">
        <v>0.2</v>
      </c>
      <c r="N1455" s="2">
        <v>0</v>
      </c>
    </row>
    <row r="1456" spans="1:14" x14ac:dyDescent="0.3">
      <c r="A1456" t="s">
        <v>2119</v>
      </c>
      <c r="B1456" s="1">
        <v>45280</v>
      </c>
      <c r="C1456" t="s">
        <v>1404</v>
      </c>
      <c r="D1456" t="s">
        <v>25</v>
      </c>
      <c r="E1456" t="s">
        <v>17</v>
      </c>
      <c r="F1456" t="s">
        <v>40</v>
      </c>
      <c r="G1456" t="s">
        <v>41</v>
      </c>
      <c r="H1456" t="s">
        <v>42</v>
      </c>
      <c r="I1456" t="s">
        <v>29</v>
      </c>
      <c r="J1456" t="s">
        <v>22</v>
      </c>
      <c r="K1456" s="2">
        <v>12950.2</v>
      </c>
      <c r="L1456" s="4">
        <v>4</v>
      </c>
      <c r="M1456" s="3">
        <v>0.18</v>
      </c>
      <c r="N1456" s="2">
        <v>129.5</v>
      </c>
    </row>
    <row r="1457" spans="1:14" x14ac:dyDescent="0.3">
      <c r="A1457" t="s">
        <v>1201</v>
      </c>
      <c r="B1457" s="1">
        <v>45280</v>
      </c>
      <c r="C1457" t="s">
        <v>1202</v>
      </c>
      <c r="D1457" t="s">
        <v>33</v>
      </c>
      <c r="E1457" t="s">
        <v>17</v>
      </c>
      <c r="F1457" t="s">
        <v>79</v>
      </c>
      <c r="G1457" t="s">
        <v>80</v>
      </c>
      <c r="H1457" t="s">
        <v>47</v>
      </c>
      <c r="I1457" t="s">
        <v>29</v>
      </c>
      <c r="J1457" t="s">
        <v>30</v>
      </c>
      <c r="K1457" s="2">
        <v>39453.94</v>
      </c>
      <c r="L1457" s="4">
        <v>7</v>
      </c>
      <c r="M1457" s="3">
        <v>0.27</v>
      </c>
      <c r="N1457" s="2">
        <v>-1380.89</v>
      </c>
    </row>
    <row r="1458" spans="1:14" x14ac:dyDescent="0.3">
      <c r="A1458" t="s">
        <v>1019</v>
      </c>
      <c r="B1458" s="1">
        <v>45280</v>
      </c>
      <c r="C1458" t="s">
        <v>801</v>
      </c>
      <c r="D1458" t="s">
        <v>85</v>
      </c>
      <c r="E1458" t="s">
        <v>17</v>
      </c>
      <c r="F1458" t="s">
        <v>34</v>
      </c>
      <c r="G1458" t="s">
        <v>35</v>
      </c>
      <c r="H1458" t="s">
        <v>36</v>
      </c>
      <c r="I1458" t="s">
        <v>21</v>
      </c>
      <c r="J1458" t="s">
        <v>54</v>
      </c>
      <c r="K1458" s="2">
        <v>42793.49</v>
      </c>
      <c r="L1458" s="4">
        <v>6</v>
      </c>
      <c r="M1458" s="3">
        <v>0.11</v>
      </c>
      <c r="N1458" s="2">
        <v>1925.71</v>
      </c>
    </row>
    <row r="1459" spans="1:14" x14ac:dyDescent="0.3">
      <c r="A1459" t="s">
        <v>379</v>
      </c>
      <c r="B1459" s="1">
        <v>45281</v>
      </c>
      <c r="C1459" t="s">
        <v>380</v>
      </c>
      <c r="D1459" t="s">
        <v>16</v>
      </c>
      <c r="E1459" t="s">
        <v>51</v>
      </c>
      <c r="F1459" t="s">
        <v>27</v>
      </c>
      <c r="G1459" t="s">
        <v>28</v>
      </c>
      <c r="H1459" t="s">
        <v>20</v>
      </c>
      <c r="I1459" t="s">
        <v>43</v>
      </c>
      <c r="J1459" t="s">
        <v>30</v>
      </c>
      <c r="K1459" s="2">
        <v>20634.400000000001</v>
      </c>
      <c r="L1459" s="4">
        <v>2</v>
      </c>
      <c r="M1459" s="3">
        <v>0.14000000000000001</v>
      </c>
      <c r="N1459" s="2">
        <v>619.03</v>
      </c>
    </row>
    <row r="1460" spans="1:14" x14ac:dyDescent="0.3">
      <c r="A1460" t="s">
        <v>911</v>
      </c>
      <c r="B1460" s="1">
        <v>45281</v>
      </c>
      <c r="C1460" t="s">
        <v>912</v>
      </c>
      <c r="D1460" t="s">
        <v>61</v>
      </c>
      <c r="E1460" t="s">
        <v>17</v>
      </c>
      <c r="F1460" t="s">
        <v>46</v>
      </c>
      <c r="G1460" t="s">
        <v>46</v>
      </c>
      <c r="H1460" t="s">
        <v>47</v>
      </c>
      <c r="I1460" t="s">
        <v>21</v>
      </c>
      <c r="J1460" t="s">
        <v>54</v>
      </c>
      <c r="K1460" s="2">
        <v>44868.79</v>
      </c>
      <c r="L1460" s="4">
        <v>8</v>
      </c>
      <c r="M1460" s="3">
        <v>0.03</v>
      </c>
      <c r="N1460" s="2">
        <v>3813.85</v>
      </c>
    </row>
    <row r="1461" spans="1:14" x14ac:dyDescent="0.3">
      <c r="A1461" t="s">
        <v>238</v>
      </c>
      <c r="B1461" s="1">
        <v>45282</v>
      </c>
      <c r="C1461" t="s">
        <v>194</v>
      </c>
      <c r="D1461" t="s">
        <v>25</v>
      </c>
      <c r="E1461" t="s">
        <v>17</v>
      </c>
      <c r="F1461" t="s">
        <v>40</v>
      </c>
      <c r="G1461" t="s">
        <v>41</v>
      </c>
      <c r="H1461" t="s">
        <v>42</v>
      </c>
      <c r="I1461" t="s">
        <v>21</v>
      </c>
      <c r="J1461" t="s">
        <v>30</v>
      </c>
      <c r="K1461" s="2">
        <v>38334.94</v>
      </c>
      <c r="L1461" s="4">
        <v>4</v>
      </c>
      <c r="M1461" s="3">
        <v>0.18</v>
      </c>
      <c r="N1461" s="2">
        <v>383.35</v>
      </c>
    </row>
    <row r="1462" spans="1:14" x14ac:dyDescent="0.3">
      <c r="A1462" t="s">
        <v>1890</v>
      </c>
      <c r="B1462" s="1">
        <v>45282</v>
      </c>
      <c r="C1462" t="s">
        <v>1329</v>
      </c>
      <c r="D1462" t="s">
        <v>33</v>
      </c>
      <c r="E1462" t="s">
        <v>17</v>
      </c>
      <c r="F1462" t="s">
        <v>18</v>
      </c>
      <c r="G1462" t="s">
        <v>19</v>
      </c>
      <c r="H1462" t="s">
        <v>20</v>
      </c>
      <c r="I1462" t="s">
        <v>21</v>
      </c>
      <c r="J1462" t="s">
        <v>54</v>
      </c>
      <c r="K1462" s="2">
        <v>13381.63</v>
      </c>
      <c r="L1462" s="4">
        <v>1</v>
      </c>
      <c r="M1462" s="3">
        <v>0.21</v>
      </c>
      <c r="N1462" s="2">
        <v>-66.91</v>
      </c>
    </row>
    <row r="1463" spans="1:14" x14ac:dyDescent="0.3">
      <c r="A1463" t="s">
        <v>230</v>
      </c>
      <c r="B1463" s="1">
        <v>45283</v>
      </c>
      <c r="C1463" t="s">
        <v>231</v>
      </c>
      <c r="D1463" t="s">
        <v>50</v>
      </c>
      <c r="E1463" t="s">
        <v>26</v>
      </c>
      <c r="F1463" t="s">
        <v>34</v>
      </c>
      <c r="G1463" t="s">
        <v>35</v>
      </c>
      <c r="H1463" t="s">
        <v>36</v>
      </c>
      <c r="I1463" t="s">
        <v>43</v>
      </c>
      <c r="J1463" t="s">
        <v>37</v>
      </c>
      <c r="K1463" s="2">
        <v>7970.97</v>
      </c>
      <c r="L1463" s="4">
        <v>9</v>
      </c>
      <c r="M1463" s="3">
        <v>0.21</v>
      </c>
      <c r="N1463" s="2">
        <v>-39.85</v>
      </c>
    </row>
    <row r="1464" spans="1:14" x14ac:dyDescent="0.3">
      <c r="A1464" t="s">
        <v>837</v>
      </c>
      <c r="B1464" s="1">
        <v>45283</v>
      </c>
      <c r="C1464" t="s">
        <v>838</v>
      </c>
      <c r="D1464" t="s">
        <v>50</v>
      </c>
      <c r="E1464" t="s">
        <v>51</v>
      </c>
      <c r="F1464" t="s">
        <v>18</v>
      </c>
      <c r="G1464" t="s">
        <v>19</v>
      </c>
      <c r="H1464" t="s">
        <v>20</v>
      </c>
      <c r="I1464" t="s">
        <v>29</v>
      </c>
      <c r="J1464" t="s">
        <v>37</v>
      </c>
      <c r="K1464" s="2">
        <v>37924.370000000003</v>
      </c>
      <c r="L1464" s="4">
        <v>2</v>
      </c>
      <c r="M1464" s="3">
        <v>0.13</v>
      </c>
      <c r="N1464" s="2">
        <v>1327.35</v>
      </c>
    </row>
    <row r="1465" spans="1:14" x14ac:dyDescent="0.3">
      <c r="A1465" t="s">
        <v>1613</v>
      </c>
      <c r="B1465" s="1">
        <v>45283</v>
      </c>
      <c r="C1465" t="s">
        <v>346</v>
      </c>
      <c r="D1465" t="s">
        <v>61</v>
      </c>
      <c r="E1465" t="s">
        <v>51</v>
      </c>
      <c r="F1465" t="s">
        <v>79</v>
      </c>
      <c r="G1465" t="s">
        <v>80</v>
      </c>
      <c r="H1465" t="s">
        <v>47</v>
      </c>
      <c r="I1465" t="s">
        <v>21</v>
      </c>
      <c r="J1465" t="s">
        <v>58</v>
      </c>
      <c r="K1465" s="2">
        <v>12567.4</v>
      </c>
      <c r="L1465" s="4">
        <v>4</v>
      </c>
      <c r="M1465" s="3">
        <v>0.2</v>
      </c>
      <c r="N1465" s="2">
        <v>0</v>
      </c>
    </row>
    <row r="1466" spans="1:14" x14ac:dyDescent="0.3">
      <c r="A1466" t="s">
        <v>1140</v>
      </c>
      <c r="B1466" s="1">
        <v>45284</v>
      </c>
      <c r="C1466" t="s">
        <v>479</v>
      </c>
      <c r="D1466" t="s">
        <v>25</v>
      </c>
      <c r="E1466" t="s">
        <v>17</v>
      </c>
      <c r="F1466" t="s">
        <v>40</v>
      </c>
      <c r="G1466" t="s">
        <v>41</v>
      </c>
      <c r="H1466" t="s">
        <v>42</v>
      </c>
      <c r="I1466" t="s">
        <v>43</v>
      </c>
      <c r="J1466" t="s">
        <v>64</v>
      </c>
      <c r="K1466" s="2">
        <v>1092.68</v>
      </c>
      <c r="L1466" s="4">
        <v>6</v>
      </c>
      <c r="M1466" s="3">
        <v>0.05</v>
      </c>
      <c r="N1466" s="2">
        <v>81.95</v>
      </c>
    </row>
    <row r="1467" spans="1:14" x14ac:dyDescent="0.3">
      <c r="A1467" t="s">
        <v>436</v>
      </c>
      <c r="B1467" s="1">
        <v>45285</v>
      </c>
      <c r="C1467" t="s">
        <v>437</v>
      </c>
      <c r="D1467" t="s">
        <v>25</v>
      </c>
      <c r="E1467" t="s">
        <v>26</v>
      </c>
      <c r="F1467" t="s">
        <v>34</v>
      </c>
      <c r="G1467" t="s">
        <v>35</v>
      </c>
      <c r="H1467" t="s">
        <v>36</v>
      </c>
      <c r="I1467" t="s">
        <v>21</v>
      </c>
      <c r="J1467" t="s">
        <v>54</v>
      </c>
      <c r="K1467" s="2">
        <v>2341.92</v>
      </c>
      <c r="L1467" s="4">
        <v>3</v>
      </c>
      <c r="M1467" s="3">
        <v>0.24</v>
      </c>
      <c r="N1467" s="2">
        <v>-46.84</v>
      </c>
    </row>
    <row r="1468" spans="1:14" x14ac:dyDescent="0.3">
      <c r="A1468" t="s">
        <v>1266</v>
      </c>
      <c r="B1468" s="1">
        <v>45285</v>
      </c>
      <c r="C1468" t="s">
        <v>878</v>
      </c>
      <c r="D1468" t="s">
        <v>33</v>
      </c>
      <c r="E1468" t="s">
        <v>51</v>
      </c>
      <c r="F1468" t="s">
        <v>27</v>
      </c>
      <c r="G1468" t="s">
        <v>28</v>
      </c>
      <c r="H1468" t="s">
        <v>20</v>
      </c>
      <c r="I1468" t="s">
        <v>21</v>
      </c>
      <c r="J1468" t="s">
        <v>64</v>
      </c>
      <c r="K1468" s="2">
        <v>26015.24</v>
      </c>
      <c r="L1468" s="4">
        <v>6</v>
      </c>
      <c r="M1468" s="3">
        <v>0.25</v>
      </c>
      <c r="N1468" s="2">
        <v>-650.38</v>
      </c>
    </row>
    <row r="1469" spans="1:14" x14ac:dyDescent="0.3">
      <c r="A1469" t="s">
        <v>1424</v>
      </c>
      <c r="B1469" s="1">
        <v>45285</v>
      </c>
      <c r="C1469" t="s">
        <v>1425</v>
      </c>
      <c r="D1469" t="s">
        <v>16</v>
      </c>
      <c r="E1469" t="s">
        <v>17</v>
      </c>
      <c r="F1469" t="s">
        <v>27</v>
      </c>
      <c r="G1469" t="s">
        <v>28</v>
      </c>
      <c r="H1469" t="s">
        <v>20</v>
      </c>
      <c r="I1469" t="s">
        <v>43</v>
      </c>
      <c r="J1469" t="s">
        <v>64</v>
      </c>
      <c r="K1469" s="2">
        <v>11412.67</v>
      </c>
      <c r="L1469" s="4">
        <v>6</v>
      </c>
      <c r="M1469" s="3">
        <v>0.08</v>
      </c>
      <c r="N1469" s="2">
        <v>684.76</v>
      </c>
    </row>
    <row r="1470" spans="1:14" x14ac:dyDescent="0.3">
      <c r="A1470" t="s">
        <v>1449</v>
      </c>
      <c r="B1470" s="1">
        <v>45285</v>
      </c>
      <c r="C1470" t="s">
        <v>250</v>
      </c>
      <c r="D1470" t="s">
        <v>25</v>
      </c>
      <c r="E1470" t="s">
        <v>26</v>
      </c>
      <c r="F1470" t="s">
        <v>40</v>
      </c>
      <c r="G1470" t="s">
        <v>41</v>
      </c>
      <c r="H1470" t="s">
        <v>42</v>
      </c>
      <c r="I1470" t="s">
        <v>29</v>
      </c>
      <c r="J1470" t="s">
        <v>22</v>
      </c>
      <c r="K1470" s="2">
        <v>44462.37</v>
      </c>
      <c r="L1470" s="4">
        <v>1</v>
      </c>
      <c r="M1470" s="3">
        <v>0.2</v>
      </c>
      <c r="N1470" s="2">
        <v>0</v>
      </c>
    </row>
    <row r="1471" spans="1:14" x14ac:dyDescent="0.3">
      <c r="A1471" t="s">
        <v>1457</v>
      </c>
      <c r="B1471" s="1">
        <v>45285</v>
      </c>
      <c r="C1471" t="s">
        <v>1458</v>
      </c>
      <c r="D1471" t="s">
        <v>33</v>
      </c>
      <c r="E1471" t="s">
        <v>26</v>
      </c>
      <c r="F1471" t="s">
        <v>34</v>
      </c>
      <c r="G1471" t="s">
        <v>35</v>
      </c>
      <c r="H1471" t="s">
        <v>36</v>
      </c>
      <c r="I1471" t="s">
        <v>29</v>
      </c>
      <c r="J1471" t="s">
        <v>22</v>
      </c>
      <c r="K1471" s="2">
        <v>38039.86</v>
      </c>
      <c r="L1471" s="4">
        <v>7</v>
      </c>
      <c r="M1471" s="3">
        <v>0.09</v>
      </c>
      <c r="N1471" s="2">
        <v>2092.19</v>
      </c>
    </row>
    <row r="1472" spans="1:14" x14ac:dyDescent="0.3">
      <c r="A1472" t="s">
        <v>1567</v>
      </c>
      <c r="B1472" s="1">
        <v>45285</v>
      </c>
      <c r="C1472" t="s">
        <v>575</v>
      </c>
      <c r="D1472" t="s">
        <v>85</v>
      </c>
      <c r="E1472" t="s">
        <v>51</v>
      </c>
      <c r="F1472" t="s">
        <v>46</v>
      </c>
      <c r="G1472" t="s">
        <v>46</v>
      </c>
      <c r="H1472" t="s">
        <v>47</v>
      </c>
      <c r="I1472" t="s">
        <v>21</v>
      </c>
      <c r="J1472" t="s">
        <v>22</v>
      </c>
      <c r="K1472" s="2">
        <v>31555.9</v>
      </c>
      <c r="L1472" s="4">
        <v>5</v>
      </c>
      <c r="M1472" s="3">
        <v>0.27</v>
      </c>
      <c r="N1472" s="2">
        <v>-1104.46</v>
      </c>
    </row>
    <row r="1473" spans="1:14" x14ac:dyDescent="0.3">
      <c r="A1473" t="s">
        <v>1952</v>
      </c>
      <c r="B1473" s="1">
        <v>45285</v>
      </c>
      <c r="C1473" t="s">
        <v>1084</v>
      </c>
      <c r="D1473" t="s">
        <v>57</v>
      </c>
      <c r="E1473" t="s">
        <v>17</v>
      </c>
      <c r="F1473" t="s">
        <v>46</v>
      </c>
      <c r="G1473" t="s">
        <v>46</v>
      </c>
      <c r="H1473" t="s">
        <v>47</v>
      </c>
      <c r="I1473" t="s">
        <v>43</v>
      </c>
      <c r="J1473" t="s">
        <v>58</v>
      </c>
      <c r="K1473" s="2">
        <v>47042.45</v>
      </c>
      <c r="L1473" s="4">
        <v>1</v>
      </c>
      <c r="M1473" s="3">
        <v>0.26</v>
      </c>
      <c r="N1473" s="2">
        <v>-1411.27</v>
      </c>
    </row>
    <row r="1474" spans="1:14" x14ac:dyDescent="0.3">
      <c r="A1474" t="s">
        <v>2177</v>
      </c>
      <c r="B1474" s="1">
        <v>45285</v>
      </c>
      <c r="C1474" t="s">
        <v>1652</v>
      </c>
      <c r="D1474" t="s">
        <v>85</v>
      </c>
      <c r="E1474" t="s">
        <v>26</v>
      </c>
      <c r="F1474" t="s">
        <v>27</v>
      </c>
      <c r="G1474" t="s">
        <v>28</v>
      </c>
      <c r="H1474" t="s">
        <v>20</v>
      </c>
      <c r="I1474" t="s">
        <v>21</v>
      </c>
      <c r="J1474" t="s">
        <v>58</v>
      </c>
      <c r="K1474" s="2">
        <v>35745.120000000003</v>
      </c>
      <c r="L1474" s="4">
        <v>2</v>
      </c>
      <c r="M1474" s="3">
        <v>0.22</v>
      </c>
      <c r="N1474" s="2">
        <v>-357.45</v>
      </c>
    </row>
    <row r="1475" spans="1:14" x14ac:dyDescent="0.3">
      <c r="A1475" t="s">
        <v>55</v>
      </c>
      <c r="B1475" s="1">
        <v>45286</v>
      </c>
      <c r="C1475" t="s">
        <v>56</v>
      </c>
      <c r="D1475" t="s">
        <v>57</v>
      </c>
      <c r="E1475" t="s">
        <v>51</v>
      </c>
      <c r="F1475" t="s">
        <v>27</v>
      </c>
      <c r="G1475" t="s">
        <v>28</v>
      </c>
      <c r="H1475" t="s">
        <v>20</v>
      </c>
      <c r="I1475" t="s">
        <v>43</v>
      </c>
      <c r="J1475" t="s">
        <v>58</v>
      </c>
      <c r="K1475" s="2">
        <v>1236.3599999999999</v>
      </c>
      <c r="L1475" s="4">
        <v>9</v>
      </c>
      <c r="M1475" s="3">
        <v>7.0000000000000007E-2</v>
      </c>
      <c r="N1475" s="2">
        <v>80.36</v>
      </c>
    </row>
    <row r="1476" spans="1:14" x14ac:dyDescent="0.3">
      <c r="A1476" t="s">
        <v>161</v>
      </c>
      <c r="B1476" s="1">
        <v>45286</v>
      </c>
      <c r="C1476" t="s">
        <v>162</v>
      </c>
      <c r="D1476" t="s">
        <v>50</v>
      </c>
      <c r="E1476" t="s">
        <v>51</v>
      </c>
      <c r="F1476" t="s">
        <v>27</v>
      </c>
      <c r="G1476" t="s">
        <v>28</v>
      </c>
      <c r="H1476" t="s">
        <v>20</v>
      </c>
      <c r="I1476" t="s">
        <v>43</v>
      </c>
      <c r="J1476" t="s">
        <v>30</v>
      </c>
      <c r="K1476" s="2">
        <v>5339.6</v>
      </c>
      <c r="L1476" s="4">
        <v>8</v>
      </c>
      <c r="M1476" s="3">
        <v>0.21</v>
      </c>
      <c r="N1476" s="2">
        <v>-26.7</v>
      </c>
    </row>
    <row r="1477" spans="1:14" x14ac:dyDescent="0.3">
      <c r="A1477" t="s">
        <v>1206</v>
      </c>
      <c r="B1477" s="1">
        <v>45286</v>
      </c>
      <c r="C1477" t="s">
        <v>1017</v>
      </c>
      <c r="D1477" t="s">
        <v>85</v>
      </c>
      <c r="E1477" t="s">
        <v>51</v>
      </c>
      <c r="F1477" t="s">
        <v>79</v>
      </c>
      <c r="G1477" t="s">
        <v>80</v>
      </c>
      <c r="H1477" t="s">
        <v>47</v>
      </c>
      <c r="I1477" t="s">
        <v>43</v>
      </c>
      <c r="J1477" t="s">
        <v>22</v>
      </c>
      <c r="K1477" s="2">
        <v>18378.82</v>
      </c>
      <c r="L1477" s="4">
        <v>9</v>
      </c>
      <c r="M1477" s="3">
        <v>0.26</v>
      </c>
      <c r="N1477" s="2">
        <v>-551.36</v>
      </c>
    </row>
    <row r="1478" spans="1:14" x14ac:dyDescent="0.3">
      <c r="A1478" t="s">
        <v>2230</v>
      </c>
      <c r="B1478" s="1">
        <v>45286</v>
      </c>
      <c r="C1478" t="s">
        <v>369</v>
      </c>
      <c r="D1478" t="s">
        <v>85</v>
      </c>
      <c r="E1478" t="s">
        <v>17</v>
      </c>
      <c r="F1478" t="s">
        <v>40</v>
      </c>
      <c r="G1478" t="s">
        <v>41</v>
      </c>
      <c r="H1478" t="s">
        <v>42</v>
      </c>
      <c r="I1478" t="s">
        <v>29</v>
      </c>
      <c r="J1478" t="s">
        <v>30</v>
      </c>
      <c r="K1478" s="2">
        <v>34926.839999999997</v>
      </c>
      <c r="L1478" s="4">
        <v>2</v>
      </c>
      <c r="M1478" s="3">
        <v>0.02</v>
      </c>
      <c r="N1478" s="2">
        <v>3143.42</v>
      </c>
    </row>
    <row r="1479" spans="1:14" x14ac:dyDescent="0.3">
      <c r="A1479" t="s">
        <v>459</v>
      </c>
      <c r="B1479" s="1">
        <v>45287</v>
      </c>
      <c r="C1479" t="s">
        <v>460</v>
      </c>
      <c r="D1479" t="s">
        <v>33</v>
      </c>
      <c r="E1479" t="s">
        <v>17</v>
      </c>
      <c r="F1479" t="s">
        <v>46</v>
      </c>
      <c r="G1479" t="s">
        <v>46</v>
      </c>
      <c r="H1479" t="s">
        <v>47</v>
      </c>
      <c r="I1479" t="s">
        <v>29</v>
      </c>
      <c r="J1479" t="s">
        <v>64</v>
      </c>
      <c r="K1479" s="2">
        <v>43338.78</v>
      </c>
      <c r="L1479" s="4">
        <v>2</v>
      </c>
      <c r="M1479" s="3">
        <v>0.04</v>
      </c>
      <c r="N1479" s="2">
        <v>3467.1</v>
      </c>
    </row>
    <row r="1480" spans="1:14" x14ac:dyDescent="0.3">
      <c r="A1480" t="s">
        <v>747</v>
      </c>
      <c r="B1480" s="1">
        <v>45287</v>
      </c>
      <c r="C1480" t="s">
        <v>748</v>
      </c>
      <c r="D1480" t="s">
        <v>57</v>
      </c>
      <c r="E1480" t="s">
        <v>26</v>
      </c>
      <c r="F1480" t="s">
        <v>40</v>
      </c>
      <c r="G1480" t="s">
        <v>41</v>
      </c>
      <c r="H1480" t="s">
        <v>42</v>
      </c>
      <c r="I1480" t="s">
        <v>43</v>
      </c>
      <c r="J1480" t="s">
        <v>30</v>
      </c>
      <c r="K1480" s="2">
        <v>12492.26</v>
      </c>
      <c r="L1480" s="4">
        <v>5</v>
      </c>
      <c r="M1480" s="3">
        <v>0.22</v>
      </c>
      <c r="N1480" s="2">
        <v>-124.92</v>
      </c>
    </row>
    <row r="1481" spans="1:14" x14ac:dyDescent="0.3">
      <c r="A1481" t="s">
        <v>1353</v>
      </c>
      <c r="B1481" s="1">
        <v>45287</v>
      </c>
      <c r="C1481" t="s">
        <v>1354</v>
      </c>
      <c r="D1481" t="s">
        <v>61</v>
      </c>
      <c r="E1481" t="s">
        <v>26</v>
      </c>
      <c r="F1481" t="s">
        <v>40</v>
      </c>
      <c r="G1481" t="s">
        <v>41</v>
      </c>
      <c r="H1481" t="s">
        <v>42</v>
      </c>
      <c r="I1481" t="s">
        <v>21</v>
      </c>
      <c r="J1481" t="s">
        <v>64</v>
      </c>
      <c r="K1481" s="2">
        <v>43562.07</v>
      </c>
      <c r="L1481" s="4">
        <v>4</v>
      </c>
      <c r="M1481" s="3">
        <v>0.12</v>
      </c>
      <c r="N1481" s="2">
        <v>1742.48</v>
      </c>
    </row>
    <row r="1482" spans="1:14" x14ac:dyDescent="0.3">
      <c r="A1482" t="s">
        <v>251</v>
      </c>
      <c r="B1482" s="1">
        <v>45288</v>
      </c>
      <c r="C1482" t="s">
        <v>252</v>
      </c>
      <c r="D1482" t="s">
        <v>25</v>
      </c>
      <c r="E1482" t="s">
        <v>26</v>
      </c>
      <c r="F1482" t="s">
        <v>79</v>
      </c>
      <c r="G1482" t="s">
        <v>80</v>
      </c>
      <c r="H1482" t="s">
        <v>47</v>
      </c>
      <c r="I1482" t="s">
        <v>43</v>
      </c>
      <c r="J1482" t="s">
        <v>64</v>
      </c>
      <c r="K1482" s="2">
        <v>6551.54</v>
      </c>
      <c r="L1482" s="4">
        <v>8</v>
      </c>
      <c r="M1482" s="3">
        <v>0.16</v>
      </c>
      <c r="N1482" s="2">
        <v>131.03</v>
      </c>
    </row>
    <row r="1483" spans="1:14" x14ac:dyDescent="0.3">
      <c r="A1483" t="s">
        <v>1007</v>
      </c>
      <c r="B1483" s="1">
        <v>45288</v>
      </c>
      <c r="C1483" t="s">
        <v>1008</v>
      </c>
      <c r="D1483" t="s">
        <v>16</v>
      </c>
      <c r="E1483" t="s">
        <v>26</v>
      </c>
      <c r="F1483" t="s">
        <v>79</v>
      </c>
      <c r="G1483" t="s">
        <v>80</v>
      </c>
      <c r="H1483" t="s">
        <v>47</v>
      </c>
      <c r="I1483" t="s">
        <v>43</v>
      </c>
      <c r="J1483" t="s">
        <v>22</v>
      </c>
      <c r="K1483" s="2">
        <v>42627.23</v>
      </c>
      <c r="L1483" s="4">
        <v>1</v>
      </c>
      <c r="M1483" s="3">
        <v>0.28000000000000003</v>
      </c>
      <c r="N1483" s="2">
        <v>-1705.09</v>
      </c>
    </row>
    <row r="1484" spans="1:14" x14ac:dyDescent="0.3">
      <c r="A1484" t="s">
        <v>1813</v>
      </c>
      <c r="B1484" s="1">
        <v>45288</v>
      </c>
      <c r="C1484" t="s">
        <v>1432</v>
      </c>
      <c r="D1484" t="s">
        <v>57</v>
      </c>
      <c r="E1484" t="s">
        <v>26</v>
      </c>
      <c r="F1484" t="s">
        <v>46</v>
      </c>
      <c r="G1484" t="s">
        <v>46</v>
      </c>
      <c r="H1484" t="s">
        <v>47</v>
      </c>
      <c r="I1484" t="s">
        <v>29</v>
      </c>
      <c r="J1484" t="s">
        <v>30</v>
      </c>
      <c r="K1484" s="2">
        <v>4804.88</v>
      </c>
      <c r="L1484" s="4">
        <v>6</v>
      </c>
      <c r="M1484" s="3">
        <v>0.21</v>
      </c>
      <c r="N1484" s="2">
        <v>-24.02</v>
      </c>
    </row>
    <row r="1485" spans="1:14" x14ac:dyDescent="0.3">
      <c r="A1485" t="s">
        <v>2108</v>
      </c>
      <c r="B1485" s="1">
        <v>45288</v>
      </c>
      <c r="C1485" t="s">
        <v>272</v>
      </c>
      <c r="D1485" t="s">
        <v>85</v>
      </c>
      <c r="E1485" t="s">
        <v>51</v>
      </c>
      <c r="F1485" t="s">
        <v>46</v>
      </c>
      <c r="G1485" t="s">
        <v>46</v>
      </c>
      <c r="H1485" t="s">
        <v>47</v>
      </c>
      <c r="I1485" t="s">
        <v>29</v>
      </c>
      <c r="J1485" t="s">
        <v>106</v>
      </c>
      <c r="K1485" s="2">
        <v>10418.65</v>
      </c>
      <c r="L1485" s="4">
        <v>2</v>
      </c>
      <c r="M1485" s="3">
        <v>0.28000000000000003</v>
      </c>
      <c r="N1485" s="2">
        <v>-416.75</v>
      </c>
    </row>
    <row r="1486" spans="1:14" x14ac:dyDescent="0.3">
      <c r="A1486" t="s">
        <v>2200</v>
      </c>
      <c r="B1486" s="1">
        <v>45288</v>
      </c>
      <c r="C1486" t="s">
        <v>2201</v>
      </c>
      <c r="D1486" t="s">
        <v>16</v>
      </c>
      <c r="E1486" t="s">
        <v>26</v>
      </c>
      <c r="F1486" t="s">
        <v>40</v>
      </c>
      <c r="G1486" t="s">
        <v>41</v>
      </c>
      <c r="H1486" t="s">
        <v>42</v>
      </c>
      <c r="I1486" t="s">
        <v>29</v>
      </c>
      <c r="J1486" t="s">
        <v>64</v>
      </c>
      <c r="K1486" s="2">
        <v>15509.32</v>
      </c>
      <c r="L1486" s="4">
        <v>10</v>
      </c>
      <c r="M1486" s="3">
        <v>0.28000000000000003</v>
      </c>
      <c r="N1486" s="2">
        <v>-620.37</v>
      </c>
    </row>
    <row r="1487" spans="1:14" x14ac:dyDescent="0.3">
      <c r="A1487" t="s">
        <v>2280</v>
      </c>
      <c r="B1487" s="1">
        <v>45288</v>
      </c>
      <c r="C1487" t="s">
        <v>105</v>
      </c>
      <c r="D1487" t="s">
        <v>16</v>
      </c>
      <c r="E1487" t="s">
        <v>26</v>
      </c>
      <c r="F1487" t="s">
        <v>46</v>
      </c>
      <c r="G1487" t="s">
        <v>46</v>
      </c>
      <c r="H1487" t="s">
        <v>47</v>
      </c>
      <c r="I1487" t="s">
        <v>29</v>
      </c>
      <c r="J1487" t="s">
        <v>37</v>
      </c>
      <c r="K1487" s="2">
        <v>2504.42</v>
      </c>
      <c r="L1487" s="4">
        <v>6</v>
      </c>
      <c r="M1487" s="3">
        <v>7.0000000000000007E-2</v>
      </c>
      <c r="N1487" s="2">
        <v>162.79</v>
      </c>
    </row>
    <row r="1488" spans="1:14" x14ac:dyDescent="0.3">
      <c r="A1488" t="s">
        <v>2056</v>
      </c>
      <c r="B1488" s="1">
        <v>45288</v>
      </c>
      <c r="C1488" t="s">
        <v>2057</v>
      </c>
      <c r="D1488" t="s">
        <v>16</v>
      </c>
      <c r="E1488" t="s">
        <v>26</v>
      </c>
      <c r="F1488" t="s">
        <v>27</v>
      </c>
      <c r="G1488" t="s">
        <v>28</v>
      </c>
      <c r="H1488" t="s">
        <v>20</v>
      </c>
      <c r="I1488" t="s">
        <v>43</v>
      </c>
      <c r="J1488" t="s">
        <v>30</v>
      </c>
      <c r="K1488" s="2">
        <v>49177.5</v>
      </c>
      <c r="L1488" s="4">
        <v>2</v>
      </c>
      <c r="M1488" s="3">
        <v>0.01</v>
      </c>
      <c r="N1488" s="2">
        <v>4671.8599999999997</v>
      </c>
    </row>
    <row r="1489" spans="1:14" x14ac:dyDescent="0.3">
      <c r="A1489" t="s">
        <v>1358</v>
      </c>
      <c r="B1489" s="1">
        <v>45288</v>
      </c>
      <c r="C1489" t="s">
        <v>252</v>
      </c>
      <c r="D1489" t="s">
        <v>57</v>
      </c>
      <c r="E1489" t="s">
        <v>17</v>
      </c>
      <c r="F1489" t="s">
        <v>27</v>
      </c>
      <c r="G1489" t="s">
        <v>28</v>
      </c>
      <c r="H1489" t="s">
        <v>20</v>
      </c>
      <c r="I1489" t="s">
        <v>29</v>
      </c>
      <c r="J1489" t="s">
        <v>64</v>
      </c>
      <c r="K1489" s="2">
        <v>2617.36</v>
      </c>
      <c r="L1489" s="4">
        <v>4</v>
      </c>
      <c r="M1489" s="3">
        <v>0.2</v>
      </c>
      <c r="N1489" s="2">
        <v>0</v>
      </c>
    </row>
    <row r="1490" spans="1:14" x14ac:dyDescent="0.3">
      <c r="A1490" t="s">
        <v>1556</v>
      </c>
      <c r="B1490" s="1">
        <v>45288</v>
      </c>
      <c r="C1490" t="s">
        <v>415</v>
      </c>
      <c r="D1490" t="s">
        <v>25</v>
      </c>
      <c r="E1490" t="s">
        <v>51</v>
      </c>
      <c r="F1490" t="s">
        <v>46</v>
      </c>
      <c r="G1490" t="s">
        <v>46</v>
      </c>
      <c r="H1490" t="s">
        <v>47</v>
      </c>
      <c r="I1490" t="s">
        <v>29</v>
      </c>
      <c r="J1490" t="s">
        <v>58</v>
      </c>
      <c r="K1490" s="2">
        <v>28412.32</v>
      </c>
      <c r="L1490" s="4">
        <v>6</v>
      </c>
      <c r="M1490" s="3">
        <v>0.03</v>
      </c>
      <c r="N1490" s="2">
        <v>2415.0500000000002</v>
      </c>
    </row>
    <row r="1491" spans="1:14" x14ac:dyDescent="0.3">
      <c r="A1491" t="s">
        <v>1211</v>
      </c>
      <c r="B1491" s="1">
        <v>45288</v>
      </c>
      <c r="C1491" t="s">
        <v>1212</v>
      </c>
      <c r="D1491" t="s">
        <v>33</v>
      </c>
      <c r="E1491" t="s">
        <v>51</v>
      </c>
      <c r="F1491" t="s">
        <v>18</v>
      </c>
      <c r="G1491" t="s">
        <v>19</v>
      </c>
      <c r="H1491" t="s">
        <v>20</v>
      </c>
      <c r="I1491" t="s">
        <v>29</v>
      </c>
      <c r="J1491" t="s">
        <v>106</v>
      </c>
      <c r="K1491" s="2">
        <v>42760.97</v>
      </c>
      <c r="L1491" s="4">
        <v>3</v>
      </c>
      <c r="M1491" s="3">
        <v>0.25</v>
      </c>
      <c r="N1491" s="2">
        <v>-1069.02</v>
      </c>
    </row>
    <row r="1492" spans="1:14" x14ac:dyDescent="0.3">
      <c r="A1492" t="s">
        <v>1298</v>
      </c>
      <c r="B1492" s="1">
        <v>45289</v>
      </c>
      <c r="C1492" t="s">
        <v>278</v>
      </c>
      <c r="D1492" t="s">
        <v>57</v>
      </c>
      <c r="E1492" t="s">
        <v>17</v>
      </c>
      <c r="F1492" t="s">
        <v>40</v>
      </c>
      <c r="G1492" t="s">
        <v>41</v>
      </c>
      <c r="H1492" t="s">
        <v>42</v>
      </c>
      <c r="I1492" t="s">
        <v>43</v>
      </c>
      <c r="J1492" t="s">
        <v>58</v>
      </c>
      <c r="K1492" s="2">
        <v>31152.34</v>
      </c>
      <c r="L1492" s="4">
        <v>9</v>
      </c>
      <c r="M1492" s="3">
        <v>0.1</v>
      </c>
      <c r="N1492" s="2">
        <v>1557.62</v>
      </c>
    </row>
    <row r="1493" spans="1:14" x14ac:dyDescent="0.3">
      <c r="A1493" t="s">
        <v>1300</v>
      </c>
      <c r="B1493" s="1">
        <v>45289</v>
      </c>
      <c r="C1493" t="s">
        <v>1301</v>
      </c>
      <c r="D1493" t="s">
        <v>85</v>
      </c>
      <c r="E1493" t="s">
        <v>17</v>
      </c>
      <c r="F1493" t="s">
        <v>18</v>
      </c>
      <c r="G1493" t="s">
        <v>19</v>
      </c>
      <c r="H1493" t="s">
        <v>20</v>
      </c>
      <c r="I1493" t="s">
        <v>29</v>
      </c>
      <c r="J1493" t="s">
        <v>106</v>
      </c>
      <c r="K1493" s="2">
        <v>26573.81</v>
      </c>
      <c r="L1493" s="4">
        <v>1</v>
      </c>
      <c r="M1493" s="3">
        <v>0.18</v>
      </c>
      <c r="N1493" s="2">
        <v>265.74</v>
      </c>
    </row>
    <row r="1494" spans="1:14" x14ac:dyDescent="0.3">
      <c r="A1494" t="s">
        <v>761</v>
      </c>
      <c r="B1494" s="1">
        <v>45290</v>
      </c>
      <c r="C1494" t="s">
        <v>708</v>
      </c>
      <c r="D1494" t="s">
        <v>57</v>
      </c>
      <c r="E1494" t="s">
        <v>26</v>
      </c>
      <c r="F1494" t="s">
        <v>27</v>
      </c>
      <c r="G1494" t="s">
        <v>28</v>
      </c>
      <c r="H1494" t="s">
        <v>20</v>
      </c>
      <c r="I1494" t="s">
        <v>29</v>
      </c>
      <c r="J1494" t="s">
        <v>37</v>
      </c>
      <c r="K1494" s="2">
        <v>47819.94</v>
      </c>
      <c r="L1494" s="4">
        <v>2</v>
      </c>
      <c r="M1494" s="3">
        <v>0.28999999999999998</v>
      </c>
      <c r="N1494" s="2">
        <v>-2151.9</v>
      </c>
    </row>
    <row r="1495" spans="1:14" x14ac:dyDescent="0.3">
      <c r="A1495" t="s">
        <v>1911</v>
      </c>
      <c r="B1495" s="1">
        <v>45290</v>
      </c>
      <c r="C1495" t="s">
        <v>880</v>
      </c>
      <c r="D1495" t="s">
        <v>61</v>
      </c>
      <c r="E1495" t="s">
        <v>17</v>
      </c>
      <c r="F1495" t="s">
        <v>46</v>
      </c>
      <c r="G1495" t="s">
        <v>46</v>
      </c>
      <c r="H1495" t="s">
        <v>47</v>
      </c>
      <c r="I1495" t="s">
        <v>21</v>
      </c>
      <c r="J1495" t="s">
        <v>54</v>
      </c>
      <c r="K1495" s="2">
        <v>48740.85</v>
      </c>
      <c r="L1495" s="4">
        <v>10</v>
      </c>
      <c r="M1495" s="3">
        <v>0.15</v>
      </c>
      <c r="N1495" s="2">
        <v>1218.52</v>
      </c>
    </row>
    <row r="1496" spans="1:14" x14ac:dyDescent="0.3">
      <c r="A1496" t="s">
        <v>783</v>
      </c>
      <c r="B1496" s="1">
        <v>45290</v>
      </c>
      <c r="C1496" t="s">
        <v>784</v>
      </c>
      <c r="D1496" t="s">
        <v>57</v>
      </c>
      <c r="E1496" t="s">
        <v>26</v>
      </c>
      <c r="F1496" t="s">
        <v>34</v>
      </c>
      <c r="G1496" t="s">
        <v>35</v>
      </c>
      <c r="H1496" t="s">
        <v>36</v>
      </c>
      <c r="I1496" t="s">
        <v>21</v>
      </c>
      <c r="J1496" t="s">
        <v>58</v>
      </c>
      <c r="K1496" s="2">
        <v>23746.99</v>
      </c>
      <c r="L1496" s="4">
        <v>7</v>
      </c>
      <c r="M1496" s="3">
        <v>0.09</v>
      </c>
      <c r="N1496" s="2">
        <v>1306.08</v>
      </c>
    </row>
    <row r="1497" spans="1:14" x14ac:dyDescent="0.3">
      <c r="A1497" t="s">
        <v>1418</v>
      </c>
      <c r="B1497" s="1">
        <v>45291</v>
      </c>
      <c r="C1497" t="s">
        <v>786</v>
      </c>
      <c r="D1497" t="s">
        <v>57</v>
      </c>
      <c r="E1497" t="s">
        <v>26</v>
      </c>
      <c r="F1497" t="s">
        <v>18</v>
      </c>
      <c r="G1497" t="s">
        <v>19</v>
      </c>
      <c r="H1497" t="s">
        <v>20</v>
      </c>
      <c r="I1497" t="s">
        <v>29</v>
      </c>
      <c r="J1497" t="s">
        <v>64</v>
      </c>
      <c r="K1497" s="2">
        <v>26070.43</v>
      </c>
      <c r="L1497" s="4">
        <v>3</v>
      </c>
      <c r="M1497" s="3">
        <v>0.18</v>
      </c>
      <c r="N1497" s="2">
        <v>260.7</v>
      </c>
    </row>
    <row r="1498" spans="1:14" x14ac:dyDescent="0.3">
      <c r="A1498" t="s">
        <v>1522</v>
      </c>
      <c r="B1498" s="1">
        <v>45291</v>
      </c>
      <c r="C1498" t="s">
        <v>1348</v>
      </c>
      <c r="D1498" t="s">
        <v>85</v>
      </c>
      <c r="E1498" t="s">
        <v>51</v>
      </c>
      <c r="F1498" t="s">
        <v>34</v>
      </c>
      <c r="G1498" t="s">
        <v>35</v>
      </c>
      <c r="H1498" t="s">
        <v>36</v>
      </c>
      <c r="I1498" t="s">
        <v>43</v>
      </c>
      <c r="J1498" t="s">
        <v>22</v>
      </c>
      <c r="K1498" s="2">
        <v>14808.83</v>
      </c>
      <c r="L1498" s="4">
        <v>6</v>
      </c>
      <c r="M1498" s="3">
        <v>0.06</v>
      </c>
      <c r="N1498" s="2">
        <v>1036.6199999999999</v>
      </c>
    </row>
    <row r="1499" spans="1:14" x14ac:dyDescent="0.3">
      <c r="A1499" t="s">
        <v>1720</v>
      </c>
      <c r="B1499" s="1">
        <v>45291</v>
      </c>
      <c r="C1499" t="s">
        <v>1721</v>
      </c>
      <c r="D1499" t="s">
        <v>25</v>
      </c>
      <c r="E1499" t="s">
        <v>17</v>
      </c>
      <c r="F1499" t="s">
        <v>40</v>
      </c>
      <c r="G1499" t="s">
        <v>41</v>
      </c>
      <c r="H1499" t="s">
        <v>42</v>
      </c>
      <c r="I1499" t="s">
        <v>43</v>
      </c>
      <c r="J1499" t="s">
        <v>37</v>
      </c>
      <c r="K1499" s="2">
        <v>25890.32</v>
      </c>
      <c r="L1499" s="4">
        <v>4</v>
      </c>
      <c r="M1499" s="3">
        <v>0.25</v>
      </c>
      <c r="N1499" s="2">
        <v>-647.26</v>
      </c>
    </row>
    <row r="1500" spans="1:14" x14ac:dyDescent="0.3">
      <c r="A1500" t="s">
        <v>1786</v>
      </c>
      <c r="B1500" s="1">
        <v>45291</v>
      </c>
      <c r="C1500" t="s">
        <v>567</v>
      </c>
      <c r="D1500" t="s">
        <v>61</v>
      </c>
      <c r="E1500" t="s">
        <v>26</v>
      </c>
      <c r="F1500" t="s">
        <v>46</v>
      </c>
      <c r="G1500" t="s">
        <v>46</v>
      </c>
      <c r="H1500" t="s">
        <v>47</v>
      </c>
      <c r="I1500" t="s">
        <v>43</v>
      </c>
      <c r="J1500" t="s">
        <v>58</v>
      </c>
      <c r="K1500" s="2">
        <v>18583.72</v>
      </c>
      <c r="L1500" s="4">
        <v>2</v>
      </c>
      <c r="M1500" s="3">
        <v>0.18</v>
      </c>
      <c r="N1500" s="2">
        <v>185.84</v>
      </c>
    </row>
    <row r="1501" spans="1:14" x14ac:dyDescent="0.3">
      <c r="A1501" t="s">
        <v>2028</v>
      </c>
      <c r="B1501" s="1">
        <v>45291</v>
      </c>
      <c r="C1501" t="s">
        <v>408</v>
      </c>
      <c r="D1501" t="s">
        <v>61</v>
      </c>
      <c r="E1501" t="s">
        <v>51</v>
      </c>
      <c r="F1501" t="s">
        <v>40</v>
      </c>
      <c r="G1501" t="s">
        <v>41</v>
      </c>
      <c r="H1501" t="s">
        <v>42</v>
      </c>
      <c r="I1501" t="s">
        <v>21</v>
      </c>
      <c r="J1501" t="s">
        <v>64</v>
      </c>
      <c r="K1501" s="2">
        <v>25070.97</v>
      </c>
      <c r="L1501" s="4">
        <v>1</v>
      </c>
      <c r="M1501" s="3">
        <v>0.23</v>
      </c>
      <c r="N1501" s="2">
        <v>-376.06</v>
      </c>
    </row>
  </sheetData>
  <conditionalFormatting sqref="N1:N1048576">
    <cfRule type="dataBar" priority="6">
      <dataBar>
        <cfvo type="min"/>
        <cfvo type="max"/>
        <color rgb="FF638EC6"/>
      </dataBar>
      <extLst>
        <ext xmlns:x14="http://schemas.microsoft.com/office/spreadsheetml/2009/9/main" uri="{B025F937-C7B1-47D3-B67F-A62EFF666E3E}">
          <x14:id>{24300E28-5057-4277-87B3-B64B0C1C0E6D}</x14:id>
        </ext>
      </extLst>
    </cfRule>
  </conditionalFormatting>
  <conditionalFormatting sqref="I1:I1048576">
    <cfRule type="containsText" dxfId="2" priority="1" operator="containsText" text="furniture">
      <formula>NOT(ISERROR(SEARCH("furniture",I1)))</formula>
    </cfRule>
    <cfRule type="containsText" dxfId="1" priority="2" operator="containsText" text="clothing">
      <formula>NOT(ISERROR(SEARCH("clothing",I1)))</formula>
    </cfRule>
    <cfRule type="containsText" dxfId="0" priority="3" operator="containsText" text="Electronics">
      <formula>NOT(ISERROR(SEARCH("Electronics",I1)))</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4300E28-5057-4277-87B3-B64B0C1C0E6D}">
            <x14:dataBar minLength="0" maxLength="100" border="1" negativeBarBorderColorSameAsPositive="0">
              <x14:cfvo type="autoMin"/>
              <x14:cfvo type="autoMax"/>
              <x14:borderColor rgb="FF638EC6"/>
              <x14:negativeFillColor rgb="FFFF0000"/>
              <x14:negativeBorderColor rgb="FFFF0000"/>
              <x14:axisColor rgb="FF000000"/>
            </x14:dataBar>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8CF9-A984-484D-8EA0-1F28ECC91BF7}">
  <dimension ref="A1:I16"/>
  <sheetViews>
    <sheetView workbookViewId="0">
      <selection activeCell="I26" sqref="I26"/>
    </sheetView>
  </sheetViews>
  <sheetFormatPr defaultRowHeight="14.4" x14ac:dyDescent="0.3"/>
  <cols>
    <col min="1" max="1" width="12.5546875" bestFit="1" customWidth="1"/>
    <col min="2" max="2" width="15.6640625" bestFit="1" customWidth="1"/>
    <col min="4" max="4" width="12.5546875" bestFit="1" customWidth="1"/>
    <col min="5" max="5" width="15.6640625" bestFit="1" customWidth="1"/>
    <col min="6" max="6" width="13.109375" bestFit="1" customWidth="1"/>
    <col min="7" max="7" width="12.5546875" bestFit="1" customWidth="1"/>
    <col min="8" max="9" width="15.6640625" bestFit="1" customWidth="1"/>
    <col min="10" max="10" width="12.5546875" bestFit="1" customWidth="1"/>
    <col min="11" max="11" width="15.6640625" bestFit="1" customWidth="1"/>
  </cols>
  <sheetData>
    <row r="1" spans="1:9" x14ac:dyDescent="0.3">
      <c r="A1" s="11" t="s">
        <v>2282</v>
      </c>
      <c r="B1" t="s">
        <v>2281</v>
      </c>
      <c r="D1" s="11" t="s">
        <v>2282</v>
      </c>
      <c r="E1" t="s">
        <v>2281</v>
      </c>
      <c r="F1" t="s">
        <v>2296</v>
      </c>
      <c r="H1" s="11" t="s">
        <v>2282</v>
      </c>
      <c r="I1" t="s">
        <v>2281</v>
      </c>
    </row>
    <row r="2" spans="1:9" x14ac:dyDescent="0.3">
      <c r="A2" s="12" t="s">
        <v>36</v>
      </c>
      <c r="B2" s="10">
        <v>6534831.9400000023</v>
      </c>
      <c r="D2" s="12" t="s">
        <v>21</v>
      </c>
      <c r="E2" s="10">
        <v>12998229.410000006</v>
      </c>
      <c r="F2" s="10">
        <v>327306.53000000003</v>
      </c>
      <c r="H2" s="12" t="s">
        <v>2294</v>
      </c>
      <c r="I2" s="10">
        <v>3666272.2600000012</v>
      </c>
    </row>
    <row r="3" spans="1:9" x14ac:dyDescent="0.3">
      <c r="A3" s="12" t="s">
        <v>42</v>
      </c>
      <c r="B3" s="10">
        <v>7161678.9200000027</v>
      </c>
      <c r="D3" s="12" t="s">
        <v>29</v>
      </c>
      <c r="E3" s="10">
        <v>12455446.430000009</v>
      </c>
      <c r="F3" s="10">
        <v>307795.64000000025</v>
      </c>
      <c r="H3" s="12" t="s">
        <v>2287</v>
      </c>
      <c r="I3" s="10">
        <v>3381710.2700000005</v>
      </c>
    </row>
    <row r="4" spans="1:9" x14ac:dyDescent="0.3">
      <c r="A4" s="12" t="s">
        <v>20</v>
      </c>
      <c r="B4" s="10">
        <v>11577840.750000007</v>
      </c>
      <c r="D4" s="12" t="s">
        <v>43</v>
      </c>
      <c r="E4" s="10">
        <v>12744920.139999999</v>
      </c>
      <c r="F4" s="10">
        <v>289624.78999999986</v>
      </c>
      <c r="H4" s="12" t="s">
        <v>2288</v>
      </c>
      <c r="I4" s="10">
        <v>3356244.1500000008</v>
      </c>
    </row>
    <row r="5" spans="1:9" x14ac:dyDescent="0.3">
      <c r="A5" s="12" t="s">
        <v>47</v>
      </c>
      <c r="B5" s="10">
        <v>12924244.370000003</v>
      </c>
      <c r="D5" s="12" t="s">
        <v>2283</v>
      </c>
      <c r="E5" s="10">
        <v>38198595.980000012</v>
      </c>
      <c r="F5" s="10">
        <v>924726.9600000002</v>
      </c>
      <c r="H5" s="12" t="s">
        <v>2291</v>
      </c>
      <c r="I5" s="10">
        <v>3325909.3400000003</v>
      </c>
    </row>
    <row r="6" spans="1:9" x14ac:dyDescent="0.3">
      <c r="A6" s="12" t="s">
        <v>2283</v>
      </c>
      <c r="B6" s="10">
        <v>38198595.980000019</v>
      </c>
      <c r="H6" s="12" t="s">
        <v>2290</v>
      </c>
      <c r="I6" s="10">
        <v>3318581.8899999992</v>
      </c>
    </row>
    <row r="7" spans="1:9" x14ac:dyDescent="0.3">
      <c r="H7" s="12" t="s">
        <v>2284</v>
      </c>
      <c r="I7" s="10">
        <v>3300710.18</v>
      </c>
    </row>
    <row r="8" spans="1:9" x14ac:dyDescent="0.3">
      <c r="A8" s="11" t="s">
        <v>2282</v>
      </c>
      <c r="B8" t="s">
        <v>2281</v>
      </c>
      <c r="D8" s="11" t="s">
        <v>2282</v>
      </c>
      <c r="E8" t="s">
        <v>2281</v>
      </c>
      <c r="H8" s="12" t="s">
        <v>2295</v>
      </c>
      <c r="I8" s="10">
        <v>3177308.82</v>
      </c>
    </row>
    <row r="9" spans="1:9" x14ac:dyDescent="0.3">
      <c r="A9" s="12" t="s">
        <v>34</v>
      </c>
      <c r="B9" s="10">
        <v>6534831.9400000023</v>
      </c>
      <c r="D9" s="12" t="s">
        <v>58</v>
      </c>
      <c r="E9" s="10">
        <v>5837287.5700000031</v>
      </c>
      <c r="H9" s="12" t="s">
        <v>2285</v>
      </c>
      <c r="I9" s="10">
        <v>3119884.1099999985</v>
      </c>
    </row>
    <row r="10" spans="1:9" x14ac:dyDescent="0.3">
      <c r="A10" s="12" t="s">
        <v>18</v>
      </c>
      <c r="B10" s="10">
        <v>5908540.7499999991</v>
      </c>
      <c r="D10" s="12" t="s">
        <v>106</v>
      </c>
      <c r="E10" s="10">
        <v>5753603.71</v>
      </c>
      <c r="H10" s="12" t="s">
        <v>2292</v>
      </c>
      <c r="I10" s="10">
        <v>3087795.9699999993</v>
      </c>
    </row>
    <row r="11" spans="1:9" x14ac:dyDescent="0.3">
      <c r="A11" s="12" t="s">
        <v>46</v>
      </c>
      <c r="B11" s="10">
        <v>6323963.5300000021</v>
      </c>
      <c r="D11" s="12" t="s">
        <v>37</v>
      </c>
      <c r="E11" s="10">
        <v>5523597.6100000022</v>
      </c>
      <c r="H11" s="12" t="s">
        <v>2289</v>
      </c>
      <c r="I11" s="10">
        <v>2937513.78</v>
      </c>
    </row>
    <row r="12" spans="1:9" x14ac:dyDescent="0.3">
      <c r="A12" s="12" t="s">
        <v>79</v>
      </c>
      <c r="B12" s="10">
        <v>6600280.8400000017</v>
      </c>
      <c r="D12" s="12" t="s">
        <v>30</v>
      </c>
      <c r="E12" s="10">
        <v>5468443.5000000009</v>
      </c>
      <c r="H12" s="12" t="s">
        <v>2286</v>
      </c>
      <c r="I12" s="10">
        <v>2860546.0999999996</v>
      </c>
    </row>
    <row r="13" spans="1:9" x14ac:dyDescent="0.3">
      <c r="A13" s="12" t="s">
        <v>27</v>
      </c>
      <c r="B13" s="10">
        <v>5669299.9999999991</v>
      </c>
      <c r="D13" s="12" t="s">
        <v>54</v>
      </c>
      <c r="E13" s="10">
        <v>5366983.200000003</v>
      </c>
      <c r="H13" s="12" t="s">
        <v>2293</v>
      </c>
      <c r="I13" s="10">
        <v>2666119.1099999989</v>
      </c>
    </row>
    <row r="14" spans="1:9" x14ac:dyDescent="0.3">
      <c r="A14" s="12" t="s">
        <v>40</v>
      </c>
      <c r="B14" s="10">
        <v>7161678.9200000027</v>
      </c>
      <c r="D14" s="12" t="s">
        <v>22</v>
      </c>
      <c r="E14" s="10">
        <v>5182254.68</v>
      </c>
      <c r="H14" s="12" t="s">
        <v>2283</v>
      </c>
      <c r="I14" s="10">
        <v>38198595.979999997</v>
      </c>
    </row>
    <row r="15" spans="1:9" x14ac:dyDescent="0.3">
      <c r="A15" s="12" t="s">
        <v>2283</v>
      </c>
      <c r="B15" s="10">
        <v>38198595.980000004</v>
      </c>
      <c r="D15" s="12" t="s">
        <v>64</v>
      </c>
      <c r="E15" s="10">
        <v>5066425.709999999</v>
      </c>
    </row>
    <row r="16" spans="1:9" x14ac:dyDescent="0.3">
      <c r="D16" s="12" t="s">
        <v>2283</v>
      </c>
      <c r="E16" s="10">
        <v>38198595.980000012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2610-E773-42C4-A467-EA0ECF90DBAA}">
  <dimension ref="A1:W3"/>
  <sheetViews>
    <sheetView tabSelected="1" workbookViewId="0">
      <selection activeCell="P27" sqref="P27"/>
    </sheetView>
  </sheetViews>
  <sheetFormatPr defaultRowHeight="14.4" x14ac:dyDescent="0.3"/>
  <cols>
    <col min="2" max="2" width="12" bestFit="1" customWidth="1"/>
  </cols>
  <sheetData>
    <row r="1" spans="1:23" ht="23.4" x14ac:dyDescent="0.45">
      <c r="A1" s="16" t="s">
        <v>2301</v>
      </c>
      <c r="B1" s="16"/>
      <c r="C1" s="16"/>
      <c r="D1" s="16"/>
      <c r="E1" s="16"/>
      <c r="F1" s="16"/>
      <c r="G1" s="16"/>
      <c r="H1" s="16"/>
      <c r="I1" s="16"/>
      <c r="J1" s="16"/>
      <c r="K1" s="16"/>
      <c r="L1" s="16"/>
      <c r="M1" s="16"/>
      <c r="N1" s="16"/>
      <c r="O1" s="16"/>
      <c r="P1" s="16"/>
      <c r="Q1" s="16"/>
      <c r="R1" s="16"/>
      <c r="S1" s="16"/>
      <c r="T1" s="16"/>
      <c r="U1" s="16"/>
      <c r="V1" s="16"/>
      <c r="W1" s="16"/>
    </row>
    <row r="2" spans="1:23" ht="15.6" x14ac:dyDescent="0.3">
      <c r="D2" s="13" t="s">
        <v>2297</v>
      </c>
      <c r="E2" s="13"/>
      <c r="I2" s="13" t="s">
        <v>2298</v>
      </c>
      <c r="J2" s="13"/>
      <c r="N2" s="13" t="s">
        <v>2299</v>
      </c>
      <c r="O2" s="13"/>
      <c r="S2" s="13" t="s">
        <v>2300</v>
      </c>
      <c r="T2" s="13"/>
    </row>
    <row r="3" spans="1:23" ht="15.6" x14ac:dyDescent="0.3">
      <c r="D3" s="14">
        <f>SUM('Sales Data'!K:K)</f>
        <v>38198595.979999952</v>
      </c>
      <c r="E3" s="14"/>
      <c r="I3" s="14">
        <f>SUM('Sales Data'!N:N)</f>
        <v>924726.9600000002</v>
      </c>
      <c r="J3" s="14"/>
      <c r="N3" s="15">
        <f>COUNTA('Sales Data'!A2:A1501)</f>
        <v>1500</v>
      </c>
      <c r="O3" s="15"/>
      <c r="S3" s="15" t="str">
        <f>INDEX('Pivot tables'!A9:A14,MATCH(MAX('Pivot tables'!B9:B14),'Pivot tables'!B9:B14,0))</f>
        <v>Mumbai</v>
      </c>
      <c r="T3" s="15"/>
    </row>
  </sheetData>
  <mergeCells count="9">
    <mergeCell ref="S2:T2"/>
    <mergeCell ref="S3:T3"/>
    <mergeCell ref="A1:W1"/>
    <mergeCell ref="D2:E2"/>
    <mergeCell ref="D3:E3"/>
    <mergeCell ref="I2:J2"/>
    <mergeCell ref="I3:J3"/>
    <mergeCell ref="N2:O2"/>
    <mergeCell ref="N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sharma</cp:lastModifiedBy>
  <dcterms:created xsi:type="dcterms:W3CDTF">2026-03-23T04:59:59Z</dcterms:created>
  <dcterms:modified xsi:type="dcterms:W3CDTF">2026-03-23T13:38:52Z</dcterms:modified>
</cp:coreProperties>
</file>